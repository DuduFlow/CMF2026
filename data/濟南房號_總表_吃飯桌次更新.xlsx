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paulbastar/Documents/Claude/Projects/EXCEL試算表網頁化/outputs/jinan-room-summary/"/>
    </mc:Choice>
  </mc:AlternateContent>
  <xr:revisionPtr revIDLastSave="0" documentId="11_5A18AAD81CF3B29971ABC68558D9D66E4397DDEF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總表" sheetId="1" r:id="rId1"/>
    <sheet name="桌次" sheetId="2" r:id="rId2"/>
    <sheet name="晚宴" sheetId="4" r:id="rId3"/>
    <sheet name="檢核" sheetId="3" r:id="rId4"/>
    <sheet name="遊覽車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9" i="5" l="1"/>
  <c r="G89" i="5"/>
  <c r="F89" i="5"/>
  <c r="E89" i="5"/>
  <c r="D89" i="5"/>
  <c r="C89" i="5"/>
  <c r="B89" i="5"/>
  <c r="A89" i="5"/>
  <c r="H88" i="5"/>
  <c r="G88" i="5"/>
  <c r="F88" i="5"/>
  <c r="E88" i="5"/>
  <c r="D88" i="5"/>
  <c r="C88" i="5"/>
  <c r="B88" i="5"/>
  <c r="A88" i="5"/>
  <c r="H87" i="5"/>
  <c r="G87" i="5"/>
  <c r="F87" i="5"/>
  <c r="E87" i="5"/>
  <c r="D87" i="5"/>
  <c r="C87" i="5"/>
  <c r="B87" i="5"/>
  <c r="A87" i="5"/>
  <c r="H86" i="5"/>
  <c r="G86" i="5"/>
  <c r="F86" i="5"/>
  <c r="E86" i="5"/>
  <c r="D86" i="5"/>
  <c r="C86" i="5"/>
  <c r="B86" i="5"/>
  <c r="A86" i="5"/>
  <c r="H85" i="5"/>
  <c r="G85" i="5"/>
  <c r="F85" i="5"/>
  <c r="E85" i="5"/>
  <c r="D85" i="5"/>
  <c r="C85" i="5"/>
  <c r="B85" i="5"/>
  <c r="A85" i="5"/>
  <c r="H84" i="5"/>
  <c r="G84" i="5"/>
  <c r="F84" i="5"/>
  <c r="E84" i="5"/>
  <c r="D84" i="5"/>
  <c r="C84" i="5"/>
  <c r="B84" i="5"/>
  <c r="A84" i="5"/>
  <c r="H83" i="5"/>
  <c r="G83" i="5"/>
  <c r="F83" i="5"/>
  <c r="E83" i="5"/>
  <c r="D83" i="5"/>
  <c r="C83" i="5"/>
  <c r="B83" i="5"/>
  <c r="A83" i="5"/>
  <c r="H82" i="5"/>
  <c r="G82" i="5"/>
  <c r="F82" i="5"/>
  <c r="E82" i="5"/>
  <c r="D82" i="5"/>
  <c r="C82" i="5"/>
  <c r="B82" i="5"/>
  <c r="A82" i="5"/>
  <c r="H81" i="5"/>
  <c r="G81" i="5"/>
  <c r="F81" i="5"/>
  <c r="E81" i="5"/>
  <c r="D81" i="5"/>
  <c r="C81" i="5"/>
  <c r="B81" i="5"/>
  <c r="A81" i="5"/>
  <c r="H80" i="5"/>
  <c r="G80" i="5"/>
  <c r="F80" i="5"/>
  <c r="E80" i="5"/>
  <c r="D80" i="5"/>
  <c r="C80" i="5"/>
  <c r="B80" i="5"/>
  <c r="A80" i="5"/>
  <c r="H79" i="5"/>
  <c r="G79" i="5"/>
  <c r="F79" i="5"/>
  <c r="E79" i="5"/>
  <c r="D79" i="5"/>
  <c r="C79" i="5"/>
  <c r="B79" i="5"/>
  <c r="A79" i="5"/>
  <c r="H78" i="5"/>
  <c r="G78" i="5"/>
  <c r="F78" i="5"/>
  <c r="E78" i="5"/>
  <c r="D78" i="5"/>
  <c r="C78" i="5"/>
  <c r="B78" i="5"/>
  <c r="A78" i="5"/>
  <c r="H77" i="5"/>
  <c r="G77" i="5"/>
  <c r="F77" i="5"/>
  <c r="E77" i="5"/>
  <c r="D77" i="5"/>
  <c r="C77" i="5"/>
  <c r="B77" i="5"/>
  <c r="A77" i="5"/>
  <c r="H76" i="5"/>
  <c r="G76" i="5"/>
  <c r="F76" i="5"/>
  <c r="E76" i="5"/>
  <c r="D76" i="5"/>
  <c r="C76" i="5"/>
  <c r="B76" i="5"/>
  <c r="A76" i="5"/>
  <c r="H75" i="5"/>
  <c r="G75" i="5"/>
  <c r="F75" i="5"/>
  <c r="E75" i="5"/>
  <c r="D75" i="5"/>
  <c r="C75" i="5"/>
  <c r="B75" i="5"/>
  <c r="A75" i="5"/>
  <c r="H74" i="5"/>
  <c r="G74" i="5"/>
  <c r="F74" i="5"/>
  <c r="E74" i="5"/>
  <c r="D74" i="5"/>
  <c r="C74" i="5"/>
  <c r="B74" i="5"/>
  <c r="A74" i="5"/>
  <c r="H73" i="5"/>
  <c r="G73" i="5"/>
  <c r="F73" i="5"/>
  <c r="E73" i="5"/>
  <c r="D73" i="5"/>
  <c r="C73" i="5"/>
  <c r="B73" i="5"/>
  <c r="A73" i="5"/>
  <c r="H72" i="5"/>
  <c r="G72" i="5"/>
  <c r="F72" i="5"/>
  <c r="E72" i="5"/>
  <c r="D72" i="5"/>
  <c r="C72" i="5"/>
  <c r="B72" i="5"/>
  <c r="A72" i="5"/>
  <c r="H71" i="5"/>
  <c r="G71" i="5"/>
  <c r="F71" i="5"/>
  <c r="E71" i="5"/>
  <c r="D71" i="5"/>
  <c r="C71" i="5"/>
  <c r="B71" i="5"/>
  <c r="A71" i="5"/>
  <c r="H70" i="5"/>
  <c r="G70" i="5"/>
  <c r="F70" i="5"/>
  <c r="E70" i="5"/>
  <c r="D70" i="5"/>
  <c r="C70" i="5"/>
  <c r="B70" i="5"/>
  <c r="A70" i="5"/>
  <c r="H69" i="5"/>
  <c r="G69" i="5"/>
  <c r="F69" i="5"/>
  <c r="E69" i="5"/>
  <c r="D69" i="5"/>
  <c r="C69" i="5"/>
  <c r="B69" i="5"/>
  <c r="A69" i="5"/>
  <c r="H68" i="5"/>
  <c r="G68" i="5"/>
  <c r="F68" i="5"/>
  <c r="E68" i="5"/>
  <c r="D68" i="5"/>
  <c r="C68" i="5"/>
  <c r="B68" i="5"/>
  <c r="A68" i="5"/>
  <c r="H67" i="5"/>
  <c r="G67" i="5"/>
  <c r="F67" i="5"/>
  <c r="E67" i="5"/>
  <c r="D67" i="5"/>
  <c r="C67" i="5"/>
  <c r="B67" i="5"/>
  <c r="A67" i="5"/>
  <c r="H66" i="5"/>
  <c r="G66" i="5"/>
  <c r="F66" i="5"/>
  <c r="E66" i="5"/>
  <c r="D66" i="5"/>
  <c r="C66" i="5"/>
  <c r="B66" i="5"/>
  <c r="A66" i="5"/>
  <c r="H65" i="5"/>
  <c r="G65" i="5"/>
  <c r="F65" i="5"/>
  <c r="E65" i="5"/>
  <c r="D65" i="5"/>
  <c r="C65" i="5"/>
  <c r="B65" i="5"/>
  <c r="A65" i="5"/>
  <c r="H64" i="5"/>
  <c r="G64" i="5"/>
  <c r="F64" i="5"/>
  <c r="E64" i="5"/>
  <c r="D64" i="5"/>
  <c r="C64" i="5"/>
  <c r="B64" i="5"/>
  <c r="A64" i="5"/>
  <c r="H63" i="5"/>
  <c r="G63" i="5"/>
  <c r="F63" i="5"/>
  <c r="E63" i="5"/>
  <c r="D63" i="5"/>
  <c r="C63" i="5"/>
  <c r="B63" i="5"/>
  <c r="A63" i="5"/>
  <c r="H62" i="5"/>
  <c r="G62" i="5"/>
  <c r="F62" i="5"/>
  <c r="E62" i="5"/>
  <c r="D62" i="5"/>
  <c r="C62" i="5"/>
  <c r="B62" i="5"/>
  <c r="A62" i="5"/>
  <c r="H61" i="5"/>
  <c r="G61" i="5"/>
  <c r="F61" i="5"/>
  <c r="E61" i="5"/>
  <c r="D61" i="5"/>
  <c r="C61" i="5"/>
  <c r="B61" i="5"/>
  <c r="A61" i="5"/>
  <c r="H60" i="5"/>
  <c r="G60" i="5"/>
  <c r="F60" i="5"/>
  <c r="E60" i="5"/>
  <c r="D60" i="5"/>
  <c r="C60" i="5"/>
  <c r="B60" i="5"/>
  <c r="A60" i="5"/>
  <c r="H59" i="5"/>
  <c r="G59" i="5"/>
  <c r="F59" i="5"/>
  <c r="E59" i="5"/>
  <c r="D59" i="5"/>
  <c r="C59" i="5"/>
  <c r="B59" i="5"/>
  <c r="A59" i="5"/>
  <c r="H58" i="5"/>
  <c r="G58" i="5"/>
  <c r="F58" i="5"/>
  <c r="E58" i="5"/>
  <c r="D58" i="5"/>
  <c r="C58" i="5"/>
  <c r="B58" i="5"/>
  <c r="A58" i="5"/>
  <c r="H57" i="5"/>
  <c r="G57" i="5"/>
  <c r="F57" i="5"/>
  <c r="E57" i="5"/>
  <c r="D57" i="5"/>
  <c r="C57" i="5"/>
  <c r="B57" i="5"/>
  <c r="A57" i="5"/>
  <c r="H56" i="5"/>
  <c r="G56" i="5"/>
  <c r="F56" i="5"/>
  <c r="E56" i="5"/>
  <c r="D56" i="5"/>
  <c r="C56" i="5"/>
  <c r="B56" i="5"/>
  <c r="A56" i="5"/>
  <c r="H55" i="5"/>
  <c r="G55" i="5"/>
  <c r="F55" i="5"/>
  <c r="E55" i="5"/>
  <c r="D55" i="5"/>
  <c r="C55" i="5"/>
  <c r="B55" i="5"/>
  <c r="A55" i="5"/>
  <c r="H54" i="5"/>
  <c r="G54" i="5"/>
  <c r="F54" i="5"/>
  <c r="E54" i="5"/>
  <c r="D54" i="5"/>
  <c r="C54" i="5"/>
  <c r="B54" i="5"/>
  <c r="A54" i="5"/>
  <c r="H53" i="5"/>
  <c r="G53" i="5"/>
  <c r="F53" i="5"/>
  <c r="E53" i="5"/>
  <c r="D53" i="5"/>
  <c r="C53" i="5"/>
  <c r="B53" i="5"/>
  <c r="A53" i="5"/>
  <c r="H52" i="5"/>
  <c r="G52" i="5"/>
  <c r="F52" i="5"/>
  <c r="E52" i="5"/>
  <c r="D52" i="5"/>
  <c r="C52" i="5"/>
  <c r="B52" i="5"/>
  <c r="A52" i="5"/>
  <c r="H51" i="5"/>
  <c r="G51" i="5"/>
  <c r="F51" i="5"/>
  <c r="E51" i="5"/>
  <c r="D51" i="5"/>
  <c r="C51" i="5"/>
  <c r="B51" i="5"/>
  <c r="A51" i="5"/>
  <c r="H50" i="5"/>
  <c r="G50" i="5"/>
  <c r="F50" i="5"/>
  <c r="E50" i="5"/>
  <c r="D50" i="5"/>
  <c r="C50" i="5"/>
  <c r="B50" i="5"/>
  <c r="A50" i="5"/>
  <c r="H49" i="5"/>
  <c r="G49" i="5"/>
  <c r="F49" i="5"/>
  <c r="E49" i="5"/>
  <c r="D49" i="5"/>
  <c r="C49" i="5"/>
  <c r="B49" i="5"/>
  <c r="A49" i="5"/>
  <c r="H48" i="5"/>
  <c r="G48" i="5"/>
  <c r="F48" i="5"/>
  <c r="E48" i="5"/>
  <c r="D48" i="5"/>
  <c r="C48" i="5"/>
  <c r="B48" i="5"/>
  <c r="A48" i="5"/>
  <c r="H47" i="5"/>
  <c r="G47" i="5"/>
  <c r="F47" i="5"/>
  <c r="E47" i="5"/>
  <c r="D47" i="5"/>
  <c r="C47" i="5"/>
  <c r="B47" i="5"/>
  <c r="A47" i="5"/>
  <c r="H46" i="5"/>
  <c r="G46" i="5"/>
  <c r="F46" i="5"/>
  <c r="E46" i="5"/>
  <c r="D46" i="5"/>
  <c r="C46" i="5"/>
  <c r="B46" i="5"/>
  <c r="A46" i="5"/>
  <c r="H45" i="5"/>
  <c r="G45" i="5"/>
  <c r="F45" i="5"/>
  <c r="E45" i="5"/>
  <c r="D45" i="5"/>
  <c r="C45" i="5"/>
  <c r="B45" i="5"/>
  <c r="A45" i="5"/>
  <c r="H44" i="5"/>
  <c r="G44" i="5"/>
  <c r="F44" i="5"/>
  <c r="E44" i="5"/>
  <c r="D44" i="5"/>
  <c r="C44" i="5"/>
  <c r="B44" i="5"/>
  <c r="A44" i="5"/>
  <c r="H43" i="5"/>
  <c r="G43" i="5"/>
  <c r="F43" i="5"/>
  <c r="E43" i="5"/>
  <c r="D43" i="5"/>
  <c r="C43" i="5"/>
  <c r="B43" i="5"/>
  <c r="A43" i="5"/>
  <c r="H42" i="5"/>
  <c r="G42" i="5"/>
  <c r="F42" i="5"/>
  <c r="E42" i="5"/>
  <c r="D42" i="5"/>
  <c r="C42" i="5"/>
  <c r="B42" i="5"/>
  <c r="A42" i="5"/>
  <c r="H41" i="5"/>
  <c r="G41" i="5"/>
  <c r="F41" i="5"/>
  <c r="E41" i="5"/>
  <c r="D41" i="5"/>
  <c r="C41" i="5"/>
  <c r="B41" i="5"/>
  <c r="A41" i="5"/>
  <c r="H40" i="5"/>
  <c r="G40" i="5"/>
  <c r="F40" i="5"/>
  <c r="E40" i="5"/>
  <c r="D40" i="5"/>
  <c r="C40" i="5"/>
  <c r="B40" i="5"/>
  <c r="A40" i="5"/>
  <c r="H39" i="5"/>
  <c r="G39" i="5"/>
  <c r="F39" i="5"/>
  <c r="E39" i="5"/>
  <c r="D39" i="5"/>
  <c r="C39" i="5"/>
  <c r="B39" i="5"/>
  <c r="A39" i="5"/>
  <c r="H38" i="5"/>
  <c r="G38" i="5"/>
  <c r="F38" i="5"/>
  <c r="E38" i="5"/>
  <c r="D38" i="5"/>
  <c r="C38" i="5"/>
  <c r="B38" i="5"/>
  <c r="A38" i="5"/>
  <c r="H37" i="5"/>
  <c r="G37" i="5"/>
  <c r="F37" i="5"/>
  <c r="E37" i="5"/>
  <c r="D37" i="5"/>
  <c r="C37" i="5"/>
  <c r="B37" i="5"/>
  <c r="A37" i="5"/>
  <c r="H36" i="5"/>
  <c r="G36" i="5"/>
  <c r="F36" i="5"/>
  <c r="E36" i="5"/>
  <c r="D36" i="5"/>
  <c r="C36" i="5"/>
  <c r="B36" i="5"/>
  <c r="A36" i="5"/>
  <c r="H35" i="5"/>
  <c r="G35" i="5"/>
  <c r="F35" i="5"/>
  <c r="E35" i="5"/>
  <c r="D35" i="5"/>
  <c r="C35" i="5"/>
  <c r="B35" i="5"/>
  <c r="A35" i="5"/>
  <c r="H34" i="5"/>
  <c r="G34" i="5"/>
  <c r="F34" i="5"/>
  <c r="E34" i="5"/>
  <c r="D34" i="5"/>
  <c r="C34" i="5"/>
  <c r="B34" i="5"/>
  <c r="A34" i="5"/>
  <c r="H33" i="5"/>
  <c r="G33" i="5"/>
  <c r="F33" i="5"/>
  <c r="E33" i="5"/>
  <c r="D33" i="5"/>
  <c r="C33" i="5"/>
  <c r="B33" i="5"/>
  <c r="A33" i="5"/>
  <c r="H32" i="5"/>
  <c r="G32" i="5"/>
  <c r="F32" i="5"/>
  <c r="E32" i="5"/>
  <c r="D32" i="5"/>
  <c r="C32" i="5"/>
  <c r="B32" i="5"/>
  <c r="A32" i="5"/>
  <c r="H31" i="5"/>
  <c r="G31" i="5"/>
  <c r="F31" i="5"/>
  <c r="E31" i="5"/>
  <c r="D31" i="5"/>
  <c r="C31" i="5"/>
  <c r="B31" i="5"/>
  <c r="A31" i="5"/>
  <c r="H30" i="5"/>
  <c r="G30" i="5"/>
  <c r="F30" i="5"/>
  <c r="E30" i="5"/>
  <c r="D30" i="5"/>
  <c r="C30" i="5"/>
  <c r="B30" i="5"/>
  <c r="A30" i="5"/>
  <c r="H29" i="5"/>
  <c r="G29" i="5"/>
  <c r="F29" i="5"/>
  <c r="E29" i="5"/>
  <c r="D29" i="5"/>
  <c r="C29" i="5"/>
  <c r="B29" i="5"/>
  <c r="A29" i="5"/>
  <c r="H28" i="5"/>
  <c r="G28" i="5"/>
  <c r="F28" i="5"/>
  <c r="E28" i="5"/>
  <c r="D28" i="5"/>
  <c r="C28" i="5"/>
  <c r="B28" i="5"/>
  <c r="A28" i="5"/>
  <c r="H27" i="5"/>
  <c r="G27" i="5"/>
  <c r="F27" i="5"/>
  <c r="E27" i="5"/>
  <c r="D27" i="5"/>
  <c r="C27" i="5"/>
  <c r="B27" i="5"/>
  <c r="A27" i="5"/>
  <c r="H26" i="5"/>
  <c r="G26" i="5"/>
  <c r="F26" i="5"/>
  <c r="E26" i="5"/>
  <c r="D26" i="5"/>
  <c r="C26" i="5"/>
  <c r="B26" i="5"/>
  <c r="A26" i="5"/>
  <c r="H25" i="5"/>
  <c r="G25" i="5"/>
  <c r="F25" i="5"/>
  <c r="E25" i="5"/>
  <c r="D25" i="5"/>
  <c r="C25" i="5"/>
  <c r="B25" i="5"/>
  <c r="A25" i="5"/>
  <c r="H24" i="5"/>
  <c r="G24" i="5"/>
  <c r="F24" i="5"/>
  <c r="E24" i="5"/>
  <c r="D24" i="5"/>
  <c r="C24" i="5"/>
  <c r="B24" i="5"/>
  <c r="A24" i="5"/>
  <c r="H23" i="5"/>
  <c r="G23" i="5"/>
  <c r="F23" i="5"/>
  <c r="E23" i="5"/>
  <c r="D23" i="5"/>
  <c r="C23" i="5"/>
  <c r="B23" i="5"/>
  <c r="A23" i="5"/>
  <c r="H22" i="5"/>
  <c r="G22" i="5"/>
  <c r="F22" i="5"/>
  <c r="E22" i="5"/>
  <c r="D22" i="5"/>
  <c r="C22" i="5"/>
  <c r="B22" i="5"/>
  <c r="A22" i="5"/>
  <c r="H21" i="5"/>
  <c r="G21" i="5"/>
  <c r="F21" i="5"/>
  <c r="E21" i="5"/>
  <c r="D21" i="5"/>
  <c r="C21" i="5"/>
  <c r="B21" i="5"/>
  <c r="A21" i="5"/>
  <c r="H20" i="5"/>
  <c r="G20" i="5"/>
  <c r="F20" i="5"/>
  <c r="E20" i="5"/>
  <c r="D20" i="5"/>
  <c r="C20" i="5"/>
  <c r="B20" i="5"/>
  <c r="A20" i="5"/>
  <c r="H19" i="5"/>
  <c r="G19" i="5"/>
  <c r="F19" i="5"/>
  <c r="E19" i="5"/>
  <c r="D19" i="5"/>
  <c r="C19" i="5"/>
  <c r="B19" i="5"/>
  <c r="A19" i="5"/>
  <c r="H18" i="5"/>
  <c r="G18" i="5"/>
  <c r="F18" i="5"/>
  <c r="E18" i="5"/>
  <c r="D18" i="5"/>
  <c r="C18" i="5"/>
  <c r="B18" i="5"/>
  <c r="A18" i="5"/>
  <c r="H17" i="5"/>
  <c r="G17" i="5"/>
  <c r="F17" i="5"/>
  <c r="E17" i="5"/>
  <c r="D17" i="5"/>
  <c r="C17" i="5"/>
  <c r="B17" i="5"/>
  <c r="A17" i="5"/>
  <c r="H16" i="5"/>
  <c r="G16" i="5"/>
  <c r="F16" i="5"/>
  <c r="E16" i="5"/>
  <c r="D16" i="5"/>
  <c r="C16" i="5"/>
  <c r="B16" i="5"/>
  <c r="A16" i="5"/>
  <c r="H15" i="5"/>
  <c r="G15" i="5"/>
  <c r="F15" i="5"/>
  <c r="E15" i="5"/>
  <c r="D15" i="5"/>
  <c r="C15" i="5"/>
  <c r="B15" i="5"/>
  <c r="A15" i="5"/>
  <c r="H14" i="5"/>
  <c r="G14" i="5"/>
  <c r="F14" i="5"/>
  <c r="E14" i="5"/>
  <c r="D14" i="5"/>
  <c r="C14" i="5"/>
  <c r="B14" i="5"/>
  <c r="A14" i="5"/>
  <c r="H13" i="5"/>
  <c r="G13" i="5"/>
  <c r="F13" i="5"/>
  <c r="E13" i="5"/>
  <c r="D13" i="5"/>
  <c r="C13" i="5"/>
  <c r="B13" i="5"/>
  <c r="A13" i="5"/>
  <c r="H12" i="5"/>
  <c r="G12" i="5"/>
  <c r="F12" i="5"/>
  <c r="E12" i="5"/>
  <c r="D12" i="5"/>
  <c r="C12" i="5"/>
  <c r="B12" i="5"/>
  <c r="A12" i="5"/>
  <c r="H11" i="5"/>
  <c r="G11" i="5"/>
  <c r="F11" i="5"/>
  <c r="E11" i="5"/>
  <c r="D11" i="5"/>
  <c r="C11" i="5"/>
  <c r="B11" i="5"/>
  <c r="A11" i="5"/>
  <c r="H10" i="5"/>
  <c r="G10" i="5"/>
  <c r="F10" i="5"/>
  <c r="E10" i="5"/>
  <c r="D10" i="5"/>
  <c r="C10" i="5"/>
  <c r="B10" i="5"/>
  <c r="A10" i="5"/>
  <c r="H9" i="5"/>
  <c r="G9" i="5"/>
  <c r="F9" i="5"/>
  <c r="E9" i="5"/>
  <c r="D9" i="5"/>
  <c r="C9" i="5"/>
  <c r="B9" i="5"/>
  <c r="A9" i="5"/>
  <c r="H8" i="5"/>
  <c r="G8" i="5"/>
  <c r="F8" i="5"/>
  <c r="E8" i="5"/>
  <c r="D8" i="5"/>
  <c r="C8" i="5"/>
  <c r="B8" i="5"/>
  <c r="A8" i="5"/>
  <c r="H7" i="5"/>
  <c r="G7" i="5"/>
  <c r="F7" i="5"/>
  <c r="E7" i="5"/>
  <c r="D7" i="5"/>
  <c r="C7" i="5"/>
  <c r="B7" i="5"/>
  <c r="A7" i="5"/>
  <c r="H6" i="5"/>
  <c r="G6" i="5"/>
  <c r="F6" i="5"/>
  <c r="E6" i="5"/>
  <c r="D6" i="5"/>
  <c r="C6" i="5"/>
  <c r="B6" i="5"/>
  <c r="A6" i="5"/>
  <c r="H5" i="5"/>
  <c r="G5" i="5"/>
  <c r="F5" i="5"/>
  <c r="E5" i="5"/>
  <c r="D5" i="5"/>
  <c r="C5" i="5"/>
  <c r="B5" i="5"/>
  <c r="A5" i="5"/>
  <c r="I89" i="4"/>
  <c r="H89" i="4"/>
  <c r="G89" i="4"/>
  <c r="F89" i="4"/>
  <c r="E89" i="4"/>
  <c r="D89" i="4"/>
  <c r="C89" i="4"/>
  <c r="B89" i="4"/>
  <c r="A89" i="4"/>
  <c r="I88" i="4"/>
  <c r="H88" i="4"/>
  <c r="G88" i="4"/>
  <c r="F88" i="4"/>
  <c r="E88" i="4"/>
  <c r="D88" i="4"/>
  <c r="C88" i="4"/>
  <c r="B88" i="4"/>
  <c r="A88" i="4"/>
  <c r="I87" i="4"/>
  <c r="H87" i="4"/>
  <c r="G87" i="4"/>
  <c r="F87" i="4"/>
  <c r="E87" i="4"/>
  <c r="D87" i="4"/>
  <c r="C87" i="4"/>
  <c r="B87" i="4"/>
  <c r="A87" i="4"/>
  <c r="I86" i="4"/>
  <c r="H86" i="4"/>
  <c r="G86" i="4"/>
  <c r="F86" i="4"/>
  <c r="E86" i="4"/>
  <c r="D86" i="4"/>
  <c r="C86" i="4"/>
  <c r="B86" i="4"/>
  <c r="A86" i="4"/>
  <c r="I85" i="4"/>
  <c r="H85" i="4"/>
  <c r="G85" i="4"/>
  <c r="F85" i="4"/>
  <c r="E85" i="4"/>
  <c r="D85" i="4"/>
  <c r="C85" i="4"/>
  <c r="B85" i="4"/>
  <c r="A85" i="4"/>
  <c r="I84" i="4"/>
  <c r="H84" i="4"/>
  <c r="G84" i="4"/>
  <c r="F84" i="4"/>
  <c r="E84" i="4"/>
  <c r="D84" i="4"/>
  <c r="C84" i="4"/>
  <c r="B84" i="4"/>
  <c r="A84" i="4"/>
  <c r="I83" i="4"/>
  <c r="H83" i="4"/>
  <c r="G83" i="4"/>
  <c r="F83" i="4"/>
  <c r="E83" i="4"/>
  <c r="D83" i="4"/>
  <c r="C83" i="4"/>
  <c r="B83" i="4"/>
  <c r="A83" i="4"/>
  <c r="I82" i="4"/>
  <c r="H82" i="4"/>
  <c r="G82" i="4"/>
  <c r="F82" i="4"/>
  <c r="E82" i="4"/>
  <c r="D82" i="4"/>
  <c r="C82" i="4"/>
  <c r="B82" i="4"/>
  <c r="A82" i="4"/>
  <c r="I81" i="4"/>
  <c r="H81" i="4"/>
  <c r="G81" i="4"/>
  <c r="F81" i="4"/>
  <c r="E81" i="4"/>
  <c r="D81" i="4"/>
  <c r="C81" i="4"/>
  <c r="B81" i="4"/>
  <c r="A81" i="4"/>
  <c r="I80" i="4"/>
  <c r="H80" i="4"/>
  <c r="G80" i="4"/>
  <c r="F80" i="4"/>
  <c r="E80" i="4"/>
  <c r="D80" i="4"/>
  <c r="C80" i="4"/>
  <c r="B80" i="4"/>
  <c r="A80" i="4"/>
  <c r="I79" i="4"/>
  <c r="H79" i="4"/>
  <c r="G79" i="4"/>
  <c r="F79" i="4"/>
  <c r="E79" i="4"/>
  <c r="D79" i="4"/>
  <c r="C79" i="4"/>
  <c r="B79" i="4"/>
  <c r="A79" i="4"/>
  <c r="I78" i="4"/>
  <c r="H78" i="4"/>
  <c r="G78" i="4"/>
  <c r="F78" i="4"/>
  <c r="E78" i="4"/>
  <c r="D78" i="4"/>
  <c r="C78" i="4"/>
  <c r="B78" i="4"/>
  <c r="A78" i="4"/>
  <c r="I77" i="4"/>
  <c r="H77" i="4"/>
  <c r="G77" i="4"/>
  <c r="F77" i="4"/>
  <c r="E77" i="4"/>
  <c r="D77" i="4"/>
  <c r="C77" i="4"/>
  <c r="B77" i="4"/>
  <c r="A77" i="4"/>
  <c r="I76" i="4"/>
  <c r="H76" i="4"/>
  <c r="G76" i="4"/>
  <c r="F76" i="4"/>
  <c r="E76" i="4"/>
  <c r="D76" i="4"/>
  <c r="C76" i="4"/>
  <c r="B76" i="4"/>
  <c r="A76" i="4"/>
  <c r="I75" i="4"/>
  <c r="H75" i="4"/>
  <c r="G75" i="4"/>
  <c r="F75" i="4"/>
  <c r="E75" i="4"/>
  <c r="D75" i="4"/>
  <c r="C75" i="4"/>
  <c r="B75" i="4"/>
  <c r="A75" i="4"/>
  <c r="I74" i="4"/>
  <c r="H74" i="4"/>
  <c r="G74" i="4"/>
  <c r="F74" i="4"/>
  <c r="E74" i="4"/>
  <c r="D74" i="4"/>
  <c r="C74" i="4"/>
  <c r="B74" i="4"/>
  <c r="A74" i="4"/>
  <c r="I73" i="4"/>
  <c r="H73" i="4"/>
  <c r="G73" i="4"/>
  <c r="F73" i="4"/>
  <c r="E73" i="4"/>
  <c r="D73" i="4"/>
  <c r="C73" i="4"/>
  <c r="B73" i="4"/>
  <c r="A73" i="4"/>
  <c r="I72" i="4"/>
  <c r="H72" i="4"/>
  <c r="G72" i="4"/>
  <c r="F72" i="4"/>
  <c r="E72" i="4"/>
  <c r="D72" i="4"/>
  <c r="C72" i="4"/>
  <c r="B72" i="4"/>
  <c r="A72" i="4"/>
  <c r="I71" i="4"/>
  <c r="H71" i="4"/>
  <c r="G71" i="4"/>
  <c r="F71" i="4"/>
  <c r="E71" i="4"/>
  <c r="D71" i="4"/>
  <c r="C71" i="4"/>
  <c r="B71" i="4"/>
  <c r="A71" i="4"/>
  <c r="I70" i="4"/>
  <c r="H70" i="4"/>
  <c r="G70" i="4"/>
  <c r="F70" i="4"/>
  <c r="E70" i="4"/>
  <c r="D70" i="4"/>
  <c r="C70" i="4"/>
  <c r="B70" i="4"/>
  <c r="A70" i="4"/>
  <c r="I69" i="4"/>
  <c r="H69" i="4"/>
  <c r="G69" i="4"/>
  <c r="F69" i="4"/>
  <c r="E69" i="4"/>
  <c r="D69" i="4"/>
  <c r="C69" i="4"/>
  <c r="B69" i="4"/>
  <c r="A69" i="4"/>
  <c r="I68" i="4"/>
  <c r="H68" i="4"/>
  <c r="G68" i="4"/>
  <c r="F68" i="4"/>
  <c r="E68" i="4"/>
  <c r="D68" i="4"/>
  <c r="C68" i="4"/>
  <c r="B68" i="4"/>
  <c r="A68" i="4"/>
  <c r="I67" i="4"/>
  <c r="H67" i="4"/>
  <c r="G67" i="4"/>
  <c r="F67" i="4"/>
  <c r="E67" i="4"/>
  <c r="D67" i="4"/>
  <c r="C67" i="4"/>
  <c r="B67" i="4"/>
  <c r="A67" i="4"/>
  <c r="I66" i="4"/>
  <c r="H66" i="4"/>
  <c r="G66" i="4"/>
  <c r="F66" i="4"/>
  <c r="E66" i="4"/>
  <c r="D66" i="4"/>
  <c r="C66" i="4"/>
  <c r="B66" i="4"/>
  <c r="A66" i="4"/>
  <c r="I65" i="4"/>
  <c r="H65" i="4"/>
  <c r="G65" i="4"/>
  <c r="F65" i="4"/>
  <c r="E65" i="4"/>
  <c r="D65" i="4"/>
  <c r="C65" i="4"/>
  <c r="B65" i="4"/>
  <c r="A65" i="4"/>
  <c r="I64" i="4"/>
  <c r="H64" i="4"/>
  <c r="G64" i="4"/>
  <c r="F64" i="4"/>
  <c r="E64" i="4"/>
  <c r="D64" i="4"/>
  <c r="C64" i="4"/>
  <c r="B64" i="4"/>
  <c r="A64" i="4"/>
  <c r="I63" i="4"/>
  <c r="H63" i="4"/>
  <c r="G63" i="4"/>
  <c r="F63" i="4"/>
  <c r="E63" i="4"/>
  <c r="D63" i="4"/>
  <c r="C63" i="4"/>
  <c r="B63" i="4"/>
  <c r="A63" i="4"/>
  <c r="I62" i="4"/>
  <c r="H62" i="4"/>
  <c r="G62" i="4"/>
  <c r="F62" i="4"/>
  <c r="E62" i="4"/>
  <c r="D62" i="4"/>
  <c r="C62" i="4"/>
  <c r="B62" i="4"/>
  <c r="A62" i="4"/>
  <c r="I61" i="4"/>
  <c r="H61" i="4"/>
  <c r="G61" i="4"/>
  <c r="F61" i="4"/>
  <c r="E61" i="4"/>
  <c r="D61" i="4"/>
  <c r="C61" i="4"/>
  <c r="B61" i="4"/>
  <c r="A61" i="4"/>
  <c r="I60" i="4"/>
  <c r="H60" i="4"/>
  <c r="G60" i="4"/>
  <c r="F60" i="4"/>
  <c r="E60" i="4"/>
  <c r="D60" i="4"/>
  <c r="C60" i="4"/>
  <c r="B60" i="4"/>
  <c r="A60" i="4"/>
  <c r="I59" i="4"/>
  <c r="H59" i="4"/>
  <c r="G59" i="4"/>
  <c r="F59" i="4"/>
  <c r="E59" i="4"/>
  <c r="D59" i="4"/>
  <c r="C59" i="4"/>
  <c r="B59" i="4"/>
  <c r="A59" i="4"/>
  <c r="I58" i="4"/>
  <c r="H58" i="4"/>
  <c r="G58" i="4"/>
  <c r="F58" i="4"/>
  <c r="E58" i="4"/>
  <c r="D58" i="4"/>
  <c r="C58" i="4"/>
  <c r="B58" i="4"/>
  <c r="A58" i="4"/>
  <c r="I57" i="4"/>
  <c r="H57" i="4"/>
  <c r="G57" i="4"/>
  <c r="F57" i="4"/>
  <c r="E57" i="4"/>
  <c r="D57" i="4"/>
  <c r="C57" i="4"/>
  <c r="B57" i="4"/>
  <c r="A57" i="4"/>
  <c r="I56" i="4"/>
  <c r="H56" i="4"/>
  <c r="G56" i="4"/>
  <c r="F56" i="4"/>
  <c r="E56" i="4"/>
  <c r="D56" i="4"/>
  <c r="C56" i="4"/>
  <c r="B56" i="4"/>
  <c r="A56" i="4"/>
  <c r="I55" i="4"/>
  <c r="H55" i="4"/>
  <c r="G55" i="4"/>
  <c r="F55" i="4"/>
  <c r="E55" i="4"/>
  <c r="D55" i="4"/>
  <c r="C55" i="4"/>
  <c r="B55" i="4"/>
  <c r="A55" i="4"/>
  <c r="I54" i="4"/>
  <c r="H54" i="4"/>
  <c r="G54" i="4"/>
  <c r="F54" i="4"/>
  <c r="E54" i="4"/>
  <c r="D54" i="4"/>
  <c r="C54" i="4"/>
  <c r="B54" i="4"/>
  <c r="A54" i="4"/>
  <c r="I53" i="4"/>
  <c r="H53" i="4"/>
  <c r="G53" i="4"/>
  <c r="F53" i="4"/>
  <c r="E53" i="4"/>
  <c r="D53" i="4"/>
  <c r="C53" i="4"/>
  <c r="B53" i="4"/>
  <c r="A53" i="4"/>
  <c r="I52" i="4"/>
  <c r="H52" i="4"/>
  <c r="G52" i="4"/>
  <c r="F52" i="4"/>
  <c r="E52" i="4"/>
  <c r="D52" i="4"/>
  <c r="C52" i="4"/>
  <c r="B52" i="4"/>
  <c r="A52" i="4"/>
  <c r="I51" i="4"/>
  <c r="H51" i="4"/>
  <c r="G51" i="4"/>
  <c r="F51" i="4"/>
  <c r="E51" i="4"/>
  <c r="D51" i="4"/>
  <c r="C51" i="4"/>
  <c r="B51" i="4"/>
  <c r="A51" i="4"/>
  <c r="I50" i="4"/>
  <c r="H50" i="4"/>
  <c r="G50" i="4"/>
  <c r="F50" i="4"/>
  <c r="E50" i="4"/>
  <c r="D50" i="4"/>
  <c r="C50" i="4"/>
  <c r="B50" i="4"/>
  <c r="A50" i="4"/>
  <c r="I49" i="4"/>
  <c r="H49" i="4"/>
  <c r="G49" i="4"/>
  <c r="F49" i="4"/>
  <c r="E49" i="4"/>
  <c r="D49" i="4"/>
  <c r="C49" i="4"/>
  <c r="B49" i="4"/>
  <c r="A49" i="4"/>
  <c r="I48" i="4"/>
  <c r="H48" i="4"/>
  <c r="G48" i="4"/>
  <c r="F48" i="4"/>
  <c r="E48" i="4"/>
  <c r="D48" i="4"/>
  <c r="C48" i="4"/>
  <c r="B48" i="4"/>
  <c r="A48" i="4"/>
  <c r="I47" i="4"/>
  <c r="H47" i="4"/>
  <c r="G47" i="4"/>
  <c r="F47" i="4"/>
  <c r="E47" i="4"/>
  <c r="D47" i="4"/>
  <c r="C47" i="4"/>
  <c r="B47" i="4"/>
  <c r="A47" i="4"/>
  <c r="I46" i="4"/>
  <c r="H46" i="4"/>
  <c r="G46" i="4"/>
  <c r="F46" i="4"/>
  <c r="E46" i="4"/>
  <c r="D46" i="4"/>
  <c r="C46" i="4"/>
  <c r="B46" i="4"/>
  <c r="A46" i="4"/>
  <c r="I45" i="4"/>
  <c r="H45" i="4"/>
  <c r="G45" i="4"/>
  <c r="F45" i="4"/>
  <c r="E45" i="4"/>
  <c r="D45" i="4"/>
  <c r="C45" i="4"/>
  <c r="B45" i="4"/>
  <c r="A45" i="4"/>
  <c r="I44" i="4"/>
  <c r="H44" i="4"/>
  <c r="G44" i="4"/>
  <c r="F44" i="4"/>
  <c r="E44" i="4"/>
  <c r="D44" i="4"/>
  <c r="C44" i="4"/>
  <c r="B44" i="4"/>
  <c r="A44" i="4"/>
  <c r="I43" i="4"/>
  <c r="H43" i="4"/>
  <c r="G43" i="4"/>
  <c r="F43" i="4"/>
  <c r="E43" i="4"/>
  <c r="D43" i="4"/>
  <c r="C43" i="4"/>
  <c r="B43" i="4"/>
  <c r="A43" i="4"/>
  <c r="I42" i="4"/>
  <c r="H42" i="4"/>
  <c r="G42" i="4"/>
  <c r="F42" i="4"/>
  <c r="E42" i="4"/>
  <c r="D42" i="4"/>
  <c r="C42" i="4"/>
  <c r="B42" i="4"/>
  <c r="A42" i="4"/>
  <c r="I41" i="4"/>
  <c r="H41" i="4"/>
  <c r="G41" i="4"/>
  <c r="F41" i="4"/>
  <c r="E41" i="4"/>
  <c r="D41" i="4"/>
  <c r="C41" i="4"/>
  <c r="B41" i="4"/>
  <c r="A41" i="4"/>
  <c r="I40" i="4"/>
  <c r="H40" i="4"/>
  <c r="G40" i="4"/>
  <c r="F40" i="4"/>
  <c r="E40" i="4"/>
  <c r="D40" i="4"/>
  <c r="C40" i="4"/>
  <c r="B40" i="4"/>
  <c r="A40" i="4"/>
  <c r="I39" i="4"/>
  <c r="H39" i="4"/>
  <c r="G39" i="4"/>
  <c r="F39" i="4"/>
  <c r="E39" i="4"/>
  <c r="D39" i="4"/>
  <c r="C39" i="4"/>
  <c r="B39" i="4"/>
  <c r="A39" i="4"/>
  <c r="I38" i="4"/>
  <c r="H38" i="4"/>
  <c r="G38" i="4"/>
  <c r="F38" i="4"/>
  <c r="E38" i="4"/>
  <c r="D38" i="4"/>
  <c r="C38" i="4"/>
  <c r="B38" i="4"/>
  <c r="A38" i="4"/>
  <c r="I37" i="4"/>
  <c r="H37" i="4"/>
  <c r="G37" i="4"/>
  <c r="F37" i="4"/>
  <c r="E37" i="4"/>
  <c r="D37" i="4"/>
  <c r="C37" i="4"/>
  <c r="B37" i="4"/>
  <c r="A37" i="4"/>
  <c r="I36" i="4"/>
  <c r="H36" i="4"/>
  <c r="G36" i="4"/>
  <c r="F36" i="4"/>
  <c r="E36" i="4"/>
  <c r="D36" i="4"/>
  <c r="C36" i="4"/>
  <c r="B36" i="4"/>
  <c r="A36" i="4"/>
  <c r="I35" i="4"/>
  <c r="H35" i="4"/>
  <c r="G35" i="4"/>
  <c r="F35" i="4"/>
  <c r="E35" i="4"/>
  <c r="D35" i="4"/>
  <c r="C35" i="4"/>
  <c r="B35" i="4"/>
  <c r="A35" i="4"/>
  <c r="I34" i="4"/>
  <c r="H34" i="4"/>
  <c r="G34" i="4"/>
  <c r="F34" i="4"/>
  <c r="E34" i="4"/>
  <c r="D34" i="4"/>
  <c r="C34" i="4"/>
  <c r="B34" i="4"/>
  <c r="A34" i="4"/>
  <c r="I33" i="4"/>
  <c r="H33" i="4"/>
  <c r="G33" i="4"/>
  <c r="F33" i="4"/>
  <c r="E33" i="4"/>
  <c r="D33" i="4"/>
  <c r="C33" i="4"/>
  <c r="B33" i="4"/>
  <c r="A33" i="4"/>
  <c r="I32" i="4"/>
  <c r="H32" i="4"/>
  <c r="G32" i="4"/>
  <c r="F32" i="4"/>
  <c r="E32" i="4"/>
  <c r="D32" i="4"/>
  <c r="C32" i="4"/>
  <c r="B32" i="4"/>
  <c r="A32" i="4"/>
  <c r="I31" i="4"/>
  <c r="H31" i="4"/>
  <c r="G31" i="4"/>
  <c r="F31" i="4"/>
  <c r="E31" i="4"/>
  <c r="D31" i="4"/>
  <c r="C31" i="4"/>
  <c r="B31" i="4"/>
  <c r="A31" i="4"/>
  <c r="I30" i="4"/>
  <c r="H30" i="4"/>
  <c r="G30" i="4"/>
  <c r="F30" i="4"/>
  <c r="E30" i="4"/>
  <c r="D30" i="4"/>
  <c r="C30" i="4"/>
  <c r="B30" i="4"/>
  <c r="A30" i="4"/>
  <c r="I29" i="4"/>
  <c r="H29" i="4"/>
  <c r="G29" i="4"/>
  <c r="F29" i="4"/>
  <c r="E29" i="4"/>
  <c r="D29" i="4"/>
  <c r="C29" i="4"/>
  <c r="B29" i="4"/>
  <c r="A29" i="4"/>
  <c r="I28" i="4"/>
  <c r="H28" i="4"/>
  <c r="G28" i="4"/>
  <c r="F28" i="4"/>
  <c r="E28" i="4"/>
  <c r="D28" i="4"/>
  <c r="C28" i="4"/>
  <c r="B28" i="4"/>
  <c r="A28" i="4"/>
  <c r="I27" i="4"/>
  <c r="H27" i="4"/>
  <c r="G27" i="4"/>
  <c r="F27" i="4"/>
  <c r="E27" i="4"/>
  <c r="D27" i="4"/>
  <c r="C27" i="4"/>
  <c r="B27" i="4"/>
  <c r="A27" i="4"/>
  <c r="I26" i="4"/>
  <c r="H26" i="4"/>
  <c r="G26" i="4"/>
  <c r="F26" i="4"/>
  <c r="E26" i="4"/>
  <c r="D26" i="4"/>
  <c r="C26" i="4"/>
  <c r="B26" i="4"/>
  <c r="A26" i="4"/>
  <c r="I25" i="4"/>
  <c r="H25" i="4"/>
  <c r="G25" i="4"/>
  <c r="F25" i="4"/>
  <c r="E25" i="4"/>
  <c r="D25" i="4"/>
  <c r="C25" i="4"/>
  <c r="B25" i="4"/>
  <c r="A25" i="4"/>
  <c r="I24" i="4"/>
  <c r="H24" i="4"/>
  <c r="G24" i="4"/>
  <c r="F24" i="4"/>
  <c r="E24" i="4"/>
  <c r="D24" i="4"/>
  <c r="C24" i="4"/>
  <c r="B24" i="4"/>
  <c r="A24" i="4"/>
  <c r="I23" i="4"/>
  <c r="H23" i="4"/>
  <c r="G23" i="4"/>
  <c r="F23" i="4"/>
  <c r="E23" i="4"/>
  <c r="D23" i="4"/>
  <c r="C23" i="4"/>
  <c r="B23" i="4"/>
  <c r="A23" i="4"/>
  <c r="I22" i="4"/>
  <c r="H22" i="4"/>
  <c r="G22" i="4"/>
  <c r="F22" i="4"/>
  <c r="E22" i="4"/>
  <c r="D22" i="4"/>
  <c r="C22" i="4"/>
  <c r="B22" i="4"/>
  <c r="A22" i="4"/>
  <c r="I21" i="4"/>
  <c r="H21" i="4"/>
  <c r="G21" i="4"/>
  <c r="F21" i="4"/>
  <c r="E21" i="4"/>
  <c r="D21" i="4"/>
  <c r="C21" i="4"/>
  <c r="B21" i="4"/>
  <c r="A21" i="4"/>
  <c r="I20" i="4"/>
  <c r="H20" i="4"/>
  <c r="G20" i="4"/>
  <c r="F20" i="4"/>
  <c r="E20" i="4"/>
  <c r="D20" i="4"/>
  <c r="C20" i="4"/>
  <c r="B20" i="4"/>
  <c r="A20" i="4"/>
  <c r="I19" i="4"/>
  <c r="H19" i="4"/>
  <c r="G19" i="4"/>
  <c r="F19" i="4"/>
  <c r="E19" i="4"/>
  <c r="D19" i="4"/>
  <c r="C19" i="4"/>
  <c r="B19" i="4"/>
  <c r="A19" i="4"/>
  <c r="I18" i="4"/>
  <c r="H18" i="4"/>
  <c r="G18" i="4"/>
  <c r="F18" i="4"/>
  <c r="E18" i="4"/>
  <c r="D18" i="4"/>
  <c r="C18" i="4"/>
  <c r="B18" i="4"/>
  <c r="A18" i="4"/>
  <c r="I17" i="4"/>
  <c r="H17" i="4"/>
  <c r="G17" i="4"/>
  <c r="F17" i="4"/>
  <c r="E17" i="4"/>
  <c r="D17" i="4"/>
  <c r="C17" i="4"/>
  <c r="B17" i="4"/>
  <c r="A17" i="4"/>
  <c r="I16" i="4"/>
  <c r="H16" i="4"/>
  <c r="G16" i="4"/>
  <c r="F16" i="4"/>
  <c r="E16" i="4"/>
  <c r="D16" i="4"/>
  <c r="C16" i="4"/>
  <c r="B16" i="4"/>
  <c r="A16" i="4"/>
  <c r="I15" i="4"/>
  <c r="H15" i="4"/>
  <c r="G15" i="4"/>
  <c r="F15" i="4"/>
  <c r="E15" i="4"/>
  <c r="D15" i="4"/>
  <c r="C15" i="4"/>
  <c r="B15" i="4"/>
  <c r="A15" i="4"/>
  <c r="I14" i="4"/>
  <c r="H14" i="4"/>
  <c r="G14" i="4"/>
  <c r="F14" i="4"/>
  <c r="E14" i="4"/>
  <c r="D14" i="4"/>
  <c r="C14" i="4"/>
  <c r="B14" i="4"/>
  <c r="A14" i="4"/>
  <c r="I13" i="4"/>
  <c r="H13" i="4"/>
  <c r="G13" i="4"/>
  <c r="F13" i="4"/>
  <c r="E13" i="4"/>
  <c r="D13" i="4"/>
  <c r="C13" i="4"/>
  <c r="B13" i="4"/>
  <c r="A13" i="4"/>
  <c r="I12" i="4"/>
  <c r="H12" i="4"/>
  <c r="G12" i="4"/>
  <c r="F12" i="4"/>
  <c r="E12" i="4"/>
  <c r="D12" i="4"/>
  <c r="C12" i="4"/>
  <c r="B12" i="4"/>
  <c r="A12" i="4"/>
  <c r="I11" i="4"/>
  <c r="H11" i="4"/>
  <c r="G11" i="4"/>
  <c r="F11" i="4"/>
  <c r="E11" i="4"/>
  <c r="D11" i="4"/>
  <c r="C11" i="4"/>
  <c r="B11" i="4"/>
  <c r="A11" i="4"/>
  <c r="I10" i="4"/>
  <c r="H10" i="4"/>
  <c r="G10" i="4"/>
  <c r="F10" i="4"/>
  <c r="E10" i="4"/>
  <c r="D10" i="4"/>
  <c r="C10" i="4"/>
  <c r="B10" i="4"/>
  <c r="A10" i="4"/>
  <c r="I9" i="4"/>
  <c r="H9" i="4"/>
  <c r="G9" i="4"/>
  <c r="F9" i="4"/>
  <c r="E9" i="4"/>
  <c r="D9" i="4"/>
  <c r="C9" i="4"/>
  <c r="B9" i="4"/>
  <c r="A9" i="4"/>
  <c r="I8" i="4"/>
  <c r="H8" i="4"/>
  <c r="G8" i="4"/>
  <c r="F8" i="4"/>
  <c r="E8" i="4"/>
  <c r="D8" i="4"/>
  <c r="C8" i="4"/>
  <c r="B8" i="4"/>
  <c r="A8" i="4"/>
  <c r="I7" i="4"/>
  <c r="H7" i="4"/>
  <c r="G7" i="4"/>
  <c r="F7" i="4"/>
  <c r="E7" i="4"/>
  <c r="D7" i="4"/>
  <c r="C7" i="4"/>
  <c r="B7" i="4"/>
  <c r="A7" i="4"/>
  <c r="I6" i="4"/>
  <c r="H6" i="4"/>
  <c r="G6" i="4"/>
  <c r="F6" i="4"/>
  <c r="E6" i="4"/>
  <c r="D6" i="4"/>
  <c r="C6" i="4"/>
  <c r="B6" i="4"/>
  <c r="A6" i="4"/>
  <c r="I5" i="4"/>
  <c r="H5" i="4"/>
  <c r="G5" i="4"/>
  <c r="F5" i="4"/>
  <c r="E5" i="4"/>
  <c r="D5" i="4"/>
  <c r="C5" i="4"/>
  <c r="B5" i="4"/>
  <c r="A5" i="4"/>
  <c r="H89" i="2"/>
  <c r="G89" i="2"/>
  <c r="F89" i="2"/>
  <c r="E89" i="2"/>
  <c r="D89" i="2"/>
  <c r="C89" i="2"/>
  <c r="B89" i="2"/>
  <c r="A89" i="2"/>
  <c r="H88" i="2"/>
  <c r="G88" i="2"/>
  <c r="F88" i="2"/>
  <c r="E88" i="2"/>
  <c r="D88" i="2"/>
  <c r="C88" i="2"/>
  <c r="B88" i="2"/>
  <c r="A88" i="2"/>
  <c r="H87" i="2"/>
  <c r="G87" i="2"/>
  <c r="F87" i="2"/>
  <c r="E87" i="2"/>
  <c r="D87" i="2"/>
  <c r="C87" i="2"/>
  <c r="B87" i="2"/>
  <c r="A87" i="2"/>
  <c r="H86" i="2"/>
  <c r="G86" i="2"/>
  <c r="F86" i="2"/>
  <c r="E86" i="2"/>
  <c r="D86" i="2"/>
  <c r="C86" i="2"/>
  <c r="B86" i="2"/>
  <c r="A86" i="2"/>
  <c r="H85" i="2"/>
  <c r="G85" i="2"/>
  <c r="F85" i="2"/>
  <c r="E85" i="2"/>
  <c r="D85" i="2"/>
  <c r="C85" i="2"/>
  <c r="B85" i="2"/>
  <c r="A85" i="2"/>
  <c r="H84" i="2"/>
  <c r="G84" i="2"/>
  <c r="F84" i="2"/>
  <c r="E84" i="2"/>
  <c r="D84" i="2"/>
  <c r="C84" i="2"/>
  <c r="B84" i="2"/>
  <c r="A84" i="2"/>
  <c r="H83" i="2"/>
  <c r="G83" i="2"/>
  <c r="F83" i="2"/>
  <c r="E83" i="2"/>
  <c r="D83" i="2"/>
  <c r="C83" i="2"/>
  <c r="B83" i="2"/>
  <c r="A83" i="2"/>
  <c r="H82" i="2"/>
  <c r="G82" i="2"/>
  <c r="F82" i="2"/>
  <c r="E82" i="2"/>
  <c r="D82" i="2"/>
  <c r="C82" i="2"/>
  <c r="B82" i="2"/>
  <c r="A82" i="2"/>
  <c r="H81" i="2"/>
  <c r="G81" i="2"/>
  <c r="F81" i="2"/>
  <c r="E81" i="2"/>
  <c r="D81" i="2"/>
  <c r="C81" i="2"/>
  <c r="B81" i="2"/>
  <c r="A81" i="2"/>
  <c r="H80" i="2"/>
  <c r="G80" i="2"/>
  <c r="F80" i="2"/>
  <c r="E80" i="2"/>
  <c r="D80" i="2"/>
  <c r="C80" i="2"/>
  <c r="B80" i="2"/>
  <c r="A80" i="2"/>
  <c r="H79" i="2"/>
  <c r="G79" i="2"/>
  <c r="F79" i="2"/>
  <c r="E79" i="2"/>
  <c r="D79" i="2"/>
  <c r="C79" i="2"/>
  <c r="B79" i="2"/>
  <c r="A79" i="2"/>
  <c r="H78" i="2"/>
  <c r="G78" i="2"/>
  <c r="F78" i="2"/>
  <c r="E78" i="2"/>
  <c r="D78" i="2"/>
  <c r="C78" i="2"/>
  <c r="B78" i="2"/>
  <c r="A78" i="2"/>
  <c r="H77" i="2"/>
  <c r="G77" i="2"/>
  <c r="F77" i="2"/>
  <c r="E77" i="2"/>
  <c r="D77" i="2"/>
  <c r="C77" i="2"/>
  <c r="B77" i="2"/>
  <c r="A77" i="2"/>
  <c r="H76" i="2"/>
  <c r="G76" i="2"/>
  <c r="F76" i="2"/>
  <c r="E76" i="2"/>
  <c r="D76" i="2"/>
  <c r="C76" i="2"/>
  <c r="B76" i="2"/>
  <c r="A76" i="2"/>
  <c r="H75" i="2"/>
  <c r="G75" i="2"/>
  <c r="F75" i="2"/>
  <c r="E75" i="2"/>
  <c r="D75" i="2"/>
  <c r="C75" i="2"/>
  <c r="B75" i="2"/>
  <c r="A75" i="2"/>
  <c r="H74" i="2"/>
  <c r="G74" i="2"/>
  <c r="F74" i="2"/>
  <c r="E74" i="2"/>
  <c r="D74" i="2"/>
  <c r="C74" i="2"/>
  <c r="B74" i="2"/>
  <c r="A74" i="2"/>
  <c r="H73" i="2"/>
  <c r="G73" i="2"/>
  <c r="F73" i="2"/>
  <c r="E73" i="2"/>
  <c r="D73" i="2"/>
  <c r="C73" i="2"/>
  <c r="B73" i="2"/>
  <c r="A73" i="2"/>
  <c r="H72" i="2"/>
  <c r="G72" i="2"/>
  <c r="F72" i="2"/>
  <c r="E72" i="2"/>
  <c r="D72" i="2"/>
  <c r="C72" i="2"/>
  <c r="B72" i="2"/>
  <c r="A72" i="2"/>
  <c r="H71" i="2"/>
  <c r="G71" i="2"/>
  <c r="F71" i="2"/>
  <c r="E71" i="2"/>
  <c r="D71" i="2"/>
  <c r="C71" i="2"/>
  <c r="B71" i="2"/>
  <c r="A71" i="2"/>
  <c r="H70" i="2"/>
  <c r="G70" i="2"/>
  <c r="F70" i="2"/>
  <c r="E70" i="2"/>
  <c r="D70" i="2"/>
  <c r="C70" i="2"/>
  <c r="B70" i="2"/>
  <c r="A70" i="2"/>
  <c r="H69" i="2"/>
  <c r="G69" i="2"/>
  <c r="F69" i="2"/>
  <c r="E69" i="2"/>
  <c r="D69" i="2"/>
  <c r="C69" i="2"/>
  <c r="B69" i="2"/>
  <c r="A69" i="2"/>
  <c r="H68" i="2"/>
  <c r="G68" i="2"/>
  <c r="F68" i="2"/>
  <c r="E68" i="2"/>
  <c r="D68" i="2"/>
  <c r="C68" i="2"/>
  <c r="B68" i="2"/>
  <c r="A68" i="2"/>
  <c r="H67" i="2"/>
  <c r="G67" i="2"/>
  <c r="F67" i="2"/>
  <c r="E67" i="2"/>
  <c r="D67" i="2"/>
  <c r="C67" i="2"/>
  <c r="B67" i="2"/>
  <c r="A67" i="2"/>
  <c r="H66" i="2"/>
  <c r="G66" i="2"/>
  <c r="F66" i="2"/>
  <c r="E66" i="2"/>
  <c r="D66" i="2"/>
  <c r="C66" i="2"/>
  <c r="B66" i="2"/>
  <c r="A66" i="2"/>
  <c r="H65" i="2"/>
  <c r="G65" i="2"/>
  <c r="F65" i="2"/>
  <c r="E65" i="2"/>
  <c r="D65" i="2"/>
  <c r="C65" i="2"/>
  <c r="B65" i="2"/>
  <c r="A65" i="2"/>
  <c r="H64" i="2"/>
  <c r="G64" i="2"/>
  <c r="F64" i="2"/>
  <c r="E64" i="2"/>
  <c r="D64" i="2"/>
  <c r="C64" i="2"/>
  <c r="B64" i="2"/>
  <c r="A64" i="2"/>
  <c r="H63" i="2"/>
  <c r="G63" i="2"/>
  <c r="F63" i="2"/>
  <c r="E63" i="2"/>
  <c r="D63" i="2"/>
  <c r="C63" i="2"/>
  <c r="B63" i="2"/>
  <c r="A63" i="2"/>
  <c r="H62" i="2"/>
  <c r="G62" i="2"/>
  <c r="F62" i="2"/>
  <c r="E62" i="2"/>
  <c r="D62" i="2"/>
  <c r="C62" i="2"/>
  <c r="B62" i="2"/>
  <c r="A62" i="2"/>
  <c r="H61" i="2"/>
  <c r="G61" i="2"/>
  <c r="F61" i="2"/>
  <c r="E61" i="2"/>
  <c r="D61" i="2"/>
  <c r="C61" i="2"/>
  <c r="B61" i="2"/>
  <c r="A61" i="2"/>
  <c r="H60" i="2"/>
  <c r="G60" i="2"/>
  <c r="F60" i="2"/>
  <c r="E60" i="2"/>
  <c r="D60" i="2"/>
  <c r="C60" i="2"/>
  <c r="B60" i="2"/>
  <c r="A60" i="2"/>
  <c r="H59" i="2"/>
  <c r="G59" i="2"/>
  <c r="F59" i="2"/>
  <c r="E59" i="2"/>
  <c r="D59" i="2"/>
  <c r="C59" i="2"/>
  <c r="B59" i="2"/>
  <c r="A59" i="2"/>
  <c r="H58" i="2"/>
  <c r="G58" i="2"/>
  <c r="F58" i="2"/>
  <c r="E58" i="2"/>
  <c r="D58" i="2"/>
  <c r="C58" i="2"/>
  <c r="B58" i="2"/>
  <c r="A58" i="2"/>
  <c r="H57" i="2"/>
  <c r="G57" i="2"/>
  <c r="F57" i="2"/>
  <c r="E57" i="2"/>
  <c r="D57" i="2"/>
  <c r="C57" i="2"/>
  <c r="B57" i="2"/>
  <c r="A57" i="2"/>
  <c r="H56" i="2"/>
  <c r="G56" i="2"/>
  <c r="F56" i="2"/>
  <c r="E56" i="2"/>
  <c r="D56" i="2"/>
  <c r="C56" i="2"/>
  <c r="B56" i="2"/>
  <c r="A56" i="2"/>
  <c r="H55" i="2"/>
  <c r="G55" i="2"/>
  <c r="F55" i="2"/>
  <c r="E55" i="2"/>
  <c r="D55" i="2"/>
  <c r="C55" i="2"/>
  <c r="B55" i="2"/>
  <c r="A55" i="2"/>
  <c r="H54" i="2"/>
  <c r="G54" i="2"/>
  <c r="F54" i="2"/>
  <c r="E54" i="2"/>
  <c r="D54" i="2"/>
  <c r="C54" i="2"/>
  <c r="B54" i="2"/>
  <c r="A54" i="2"/>
  <c r="H53" i="2"/>
  <c r="G53" i="2"/>
  <c r="F53" i="2"/>
  <c r="E53" i="2"/>
  <c r="D53" i="2"/>
  <c r="C53" i="2"/>
  <c r="B53" i="2"/>
  <c r="A53" i="2"/>
  <c r="H52" i="2"/>
  <c r="G52" i="2"/>
  <c r="F52" i="2"/>
  <c r="E52" i="2"/>
  <c r="D52" i="2"/>
  <c r="C52" i="2"/>
  <c r="B52" i="2"/>
  <c r="A52" i="2"/>
  <c r="H51" i="2"/>
  <c r="G51" i="2"/>
  <c r="F51" i="2"/>
  <c r="E51" i="2"/>
  <c r="D51" i="2"/>
  <c r="C51" i="2"/>
  <c r="B51" i="2"/>
  <c r="A51" i="2"/>
  <c r="H50" i="2"/>
  <c r="G50" i="2"/>
  <c r="F50" i="2"/>
  <c r="E50" i="2"/>
  <c r="D50" i="2"/>
  <c r="C50" i="2"/>
  <c r="B50" i="2"/>
  <c r="A50" i="2"/>
  <c r="H49" i="2"/>
  <c r="G49" i="2"/>
  <c r="F49" i="2"/>
  <c r="E49" i="2"/>
  <c r="D49" i="2"/>
  <c r="C49" i="2"/>
  <c r="B49" i="2"/>
  <c r="A49" i="2"/>
  <c r="H48" i="2"/>
  <c r="G48" i="2"/>
  <c r="F48" i="2"/>
  <c r="E48" i="2"/>
  <c r="D48" i="2"/>
  <c r="C48" i="2"/>
  <c r="B48" i="2"/>
  <c r="A48" i="2"/>
  <c r="H47" i="2"/>
  <c r="G47" i="2"/>
  <c r="F47" i="2"/>
  <c r="E47" i="2"/>
  <c r="D47" i="2"/>
  <c r="C47" i="2"/>
  <c r="B47" i="2"/>
  <c r="A47" i="2"/>
  <c r="H46" i="2"/>
  <c r="G46" i="2"/>
  <c r="F46" i="2"/>
  <c r="E46" i="2"/>
  <c r="D46" i="2"/>
  <c r="C46" i="2"/>
  <c r="B46" i="2"/>
  <c r="A46" i="2"/>
  <c r="H45" i="2"/>
  <c r="G45" i="2"/>
  <c r="F45" i="2"/>
  <c r="E45" i="2"/>
  <c r="D45" i="2"/>
  <c r="C45" i="2"/>
  <c r="B45" i="2"/>
  <c r="A45" i="2"/>
  <c r="H44" i="2"/>
  <c r="G44" i="2"/>
  <c r="F44" i="2"/>
  <c r="E44" i="2"/>
  <c r="D44" i="2"/>
  <c r="C44" i="2"/>
  <c r="B44" i="2"/>
  <c r="A44" i="2"/>
  <c r="H43" i="2"/>
  <c r="G43" i="2"/>
  <c r="F43" i="2"/>
  <c r="E43" i="2"/>
  <c r="D43" i="2"/>
  <c r="C43" i="2"/>
  <c r="B43" i="2"/>
  <c r="A43" i="2"/>
  <c r="H42" i="2"/>
  <c r="G42" i="2"/>
  <c r="F42" i="2"/>
  <c r="E42" i="2"/>
  <c r="D42" i="2"/>
  <c r="C42" i="2"/>
  <c r="B42" i="2"/>
  <c r="A42" i="2"/>
  <c r="H41" i="2"/>
  <c r="G41" i="2"/>
  <c r="F41" i="2"/>
  <c r="E41" i="2"/>
  <c r="D41" i="2"/>
  <c r="C41" i="2"/>
  <c r="B41" i="2"/>
  <c r="A41" i="2"/>
  <c r="H40" i="2"/>
  <c r="G40" i="2"/>
  <c r="F40" i="2"/>
  <c r="E40" i="2"/>
  <c r="D40" i="2"/>
  <c r="C40" i="2"/>
  <c r="B40" i="2"/>
  <c r="A40" i="2"/>
  <c r="H39" i="2"/>
  <c r="G39" i="2"/>
  <c r="F39" i="2"/>
  <c r="E39" i="2"/>
  <c r="D39" i="2"/>
  <c r="C39" i="2"/>
  <c r="B39" i="2"/>
  <c r="A39" i="2"/>
  <c r="H38" i="2"/>
  <c r="G38" i="2"/>
  <c r="F38" i="2"/>
  <c r="E38" i="2"/>
  <c r="D38" i="2"/>
  <c r="C38" i="2"/>
  <c r="B38" i="2"/>
  <c r="A38" i="2"/>
  <c r="H37" i="2"/>
  <c r="G37" i="2"/>
  <c r="F37" i="2"/>
  <c r="E37" i="2"/>
  <c r="D37" i="2"/>
  <c r="C37" i="2"/>
  <c r="B37" i="2"/>
  <c r="A37" i="2"/>
  <c r="H36" i="2"/>
  <c r="G36" i="2"/>
  <c r="F36" i="2"/>
  <c r="E36" i="2"/>
  <c r="D36" i="2"/>
  <c r="C36" i="2"/>
  <c r="B36" i="2"/>
  <c r="A36" i="2"/>
  <c r="H35" i="2"/>
  <c r="G35" i="2"/>
  <c r="F35" i="2"/>
  <c r="E35" i="2"/>
  <c r="D35" i="2"/>
  <c r="C35" i="2"/>
  <c r="B35" i="2"/>
  <c r="A35" i="2"/>
  <c r="H34" i="2"/>
  <c r="G34" i="2"/>
  <c r="F34" i="2"/>
  <c r="E34" i="2"/>
  <c r="D34" i="2"/>
  <c r="C34" i="2"/>
  <c r="B34" i="2"/>
  <c r="A34" i="2"/>
  <c r="H33" i="2"/>
  <c r="G33" i="2"/>
  <c r="F33" i="2"/>
  <c r="E33" i="2"/>
  <c r="D33" i="2"/>
  <c r="C33" i="2"/>
  <c r="B33" i="2"/>
  <c r="A33" i="2"/>
  <c r="H32" i="2"/>
  <c r="G32" i="2"/>
  <c r="F32" i="2"/>
  <c r="E32" i="2"/>
  <c r="D32" i="2"/>
  <c r="C32" i="2"/>
  <c r="B32" i="2"/>
  <c r="A32" i="2"/>
  <c r="H31" i="2"/>
  <c r="G31" i="2"/>
  <c r="F31" i="2"/>
  <c r="E31" i="2"/>
  <c r="D31" i="2"/>
  <c r="C31" i="2"/>
  <c r="B31" i="2"/>
  <c r="A31" i="2"/>
  <c r="H30" i="2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</calcChain>
</file>

<file path=xl/sharedStrings.xml><?xml version="1.0" encoding="utf-8"?>
<sst xmlns="http://schemas.openxmlformats.org/spreadsheetml/2006/main" count="918" uniqueCount="334">
  <si>
    <t>濟南房號與桌次總表</t>
  </si>
  <si>
    <t>房號</t>
  </si>
  <si>
    <t>編號</t>
  </si>
  <si>
    <t>姓名</t>
  </si>
  <si>
    <t>單位</t>
  </si>
  <si>
    <t>性別</t>
  </si>
  <si>
    <t>青島金水皇冠假日飯店房號</t>
  </si>
  <si>
    <t>濟南美悅雲禧飯店房號</t>
  </si>
  <si>
    <t>桌次</t>
  </si>
  <si>
    <t>晚宴座位</t>
  </si>
  <si>
    <t>課程分組</t>
  </si>
  <si>
    <t>組長</t>
  </si>
  <si>
    <t>備註</t>
  </si>
  <si>
    <t>1</t>
  </si>
  <si>
    <t>許智雄</t>
  </si>
  <si>
    <t>高天通訊處</t>
  </si>
  <si>
    <t>男</t>
  </si>
  <si>
    <t>第9桌</t>
  </si>
  <si>
    <t>第9組</t>
  </si>
  <si>
    <t>2</t>
  </si>
  <si>
    <t>謝政男</t>
  </si>
  <si>
    <t>第6桌</t>
  </si>
  <si>
    <t>第6組</t>
  </si>
  <si>
    <t>3</t>
  </si>
  <si>
    <t>何宜家</t>
  </si>
  <si>
    <t>女</t>
  </si>
  <si>
    <t>主桌</t>
  </si>
  <si>
    <t>4</t>
  </si>
  <si>
    <t>蕭宇晴</t>
  </si>
  <si>
    <t>第2桌</t>
  </si>
  <si>
    <t>第2組</t>
  </si>
  <si>
    <t>5</t>
  </si>
  <si>
    <t>蕭如菁</t>
  </si>
  <si>
    <t>第3桌</t>
  </si>
  <si>
    <t>第3組</t>
  </si>
  <si>
    <t>6</t>
  </si>
  <si>
    <t>何宜庭</t>
  </si>
  <si>
    <t>第8桌</t>
  </si>
  <si>
    <t>第8組</t>
  </si>
  <si>
    <t>7</t>
  </si>
  <si>
    <t>戴東志</t>
  </si>
  <si>
    <t>第1桌</t>
  </si>
  <si>
    <t>第1組</t>
  </si>
  <si>
    <t>8</t>
  </si>
  <si>
    <t>詹政杰</t>
  </si>
  <si>
    <t>第7桌</t>
  </si>
  <si>
    <t>第7組</t>
  </si>
  <si>
    <t>9</t>
  </si>
  <si>
    <t>吳睿綝</t>
  </si>
  <si>
    <t>10</t>
  </si>
  <si>
    <t>陳懷柔</t>
  </si>
  <si>
    <t>11</t>
  </si>
  <si>
    <t>黃柏瑞</t>
  </si>
  <si>
    <t>高貴通訊處</t>
  </si>
  <si>
    <t>12</t>
  </si>
  <si>
    <t>陳其呈</t>
  </si>
  <si>
    <t>13</t>
  </si>
  <si>
    <t>陳武均</t>
  </si>
  <si>
    <t>富予二通訊處</t>
  </si>
  <si>
    <t>第5桌</t>
  </si>
  <si>
    <t>第5組</t>
  </si>
  <si>
    <t>14</t>
  </si>
  <si>
    <t>陳尚禾</t>
  </si>
  <si>
    <t>15</t>
  </si>
  <si>
    <t>陳昶聿</t>
  </si>
  <si>
    <t>16</t>
  </si>
  <si>
    <t>宋里安</t>
  </si>
  <si>
    <t>17</t>
  </si>
  <si>
    <t>賴芯甯</t>
  </si>
  <si>
    <t>18</t>
  </si>
  <si>
    <t>高泰琳</t>
  </si>
  <si>
    <t>第4桌</t>
  </si>
  <si>
    <t>第4組</t>
  </si>
  <si>
    <t>19</t>
  </si>
  <si>
    <t>許瓊云</t>
  </si>
  <si>
    <t>20</t>
  </si>
  <si>
    <t>王姵慈</t>
  </si>
  <si>
    <t>富吳通訊處</t>
  </si>
  <si>
    <t>21</t>
  </si>
  <si>
    <t>賴含怡</t>
  </si>
  <si>
    <t>富則通訊處</t>
  </si>
  <si>
    <t>22</t>
  </si>
  <si>
    <t>吳佩姗</t>
  </si>
  <si>
    <t>23</t>
  </si>
  <si>
    <t>王鄆郅</t>
  </si>
  <si>
    <t>24</t>
  </si>
  <si>
    <t>廖冠傑</t>
  </si>
  <si>
    <t>25</t>
  </si>
  <si>
    <t>王騌捷</t>
  </si>
  <si>
    <t>26</t>
  </si>
  <si>
    <t>黃金隆</t>
  </si>
  <si>
    <t>27</t>
  </si>
  <si>
    <t>呂顏伃</t>
  </si>
  <si>
    <t>28</t>
  </si>
  <si>
    <t>陳怡諳</t>
  </si>
  <si>
    <t>29</t>
  </si>
  <si>
    <t>彭莉柔</t>
  </si>
  <si>
    <t>30</t>
  </si>
  <si>
    <t>陳盈蓁</t>
  </si>
  <si>
    <t>31</t>
  </si>
  <si>
    <t>周易慶</t>
  </si>
  <si>
    <t>32</t>
  </si>
  <si>
    <t>林建璋</t>
  </si>
  <si>
    <t>33</t>
  </si>
  <si>
    <t>李奕寬</t>
  </si>
  <si>
    <t>34</t>
  </si>
  <si>
    <t>黃彥融</t>
  </si>
  <si>
    <t>35</t>
  </si>
  <si>
    <t>鄭丞哲</t>
  </si>
  <si>
    <t>36</t>
  </si>
  <si>
    <t>謝宇軒</t>
  </si>
  <si>
    <t>37</t>
  </si>
  <si>
    <t>戴孜安</t>
  </si>
  <si>
    <t>38</t>
  </si>
  <si>
    <t>徐瀚</t>
  </si>
  <si>
    <t>39</t>
  </si>
  <si>
    <t>許嘉晉</t>
  </si>
  <si>
    <t>40</t>
  </si>
  <si>
    <t>侯宏詣</t>
  </si>
  <si>
    <t>41</t>
  </si>
  <si>
    <t>簡宏鈞</t>
  </si>
  <si>
    <t>富能通訊處</t>
  </si>
  <si>
    <t>42</t>
  </si>
  <si>
    <t>王昱文</t>
  </si>
  <si>
    <t>43</t>
  </si>
  <si>
    <t>管卓鈞</t>
  </si>
  <si>
    <t>44</t>
  </si>
  <si>
    <t>林桂安</t>
  </si>
  <si>
    <t>45</t>
  </si>
  <si>
    <t>簡姵萱</t>
  </si>
  <si>
    <t>46</t>
  </si>
  <si>
    <t>潘韻竹</t>
  </si>
  <si>
    <t>47</t>
  </si>
  <si>
    <t>傅佳旻</t>
  </si>
  <si>
    <t>富占通訊處</t>
  </si>
  <si>
    <t>48</t>
  </si>
  <si>
    <t>徐維鈴</t>
  </si>
  <si>
    <t>49</t>
  </si>
  <si>
    <t>鍾怡婷</t>
  </si>
  <si>
    <t>50</t>
  </si>
  <si>
    <t>林宜潔</t>
  </si>
  <si>
    <t>51</t>
  </si>
  <si>
    <t>顏明儀</t>
  </si>
  <si>
    <t>52</t>
  </si>
  <si>
    <t>王思嵐</t>
  </si>
  <si>
    <t>53</t>
  </si>
  <si>
    <t>吳品萱</t>
  </si>
  <si>
    <t>54</t>
  </si>
  <si>
    <t>林芳誼</t>
  </si>
  <si>
    <t>55</t>
  </si>
  <si>
    <t>余妏珊</t>
  </si>
  <si>
    <t>56</t>
  </si>
  <si>
    <t>余若馨</t>
  </si>
  <si>
    <t>57</t>
  </si>
  <si>
    <t>吳沛錞</t>
  </si>
  <si>
    <t>58</t>
  </si>
  <si>
    <t>李婕詠</t>
  </si>
  <si>
    <t>59</t>
  </si>
  <si>
    <t>李孟珊</t>
  </si>
  <si>
    <t>60</t>
  </si>
  <si>
    <t>黃馨葦</t>
  </si>
  <si>
    <t>61</t>
  </si>
  <si>
    <t>蔡承遠</t>
  </si>
  <si>
    <t>62</t>
  </si>
  <si>
    <t>張國興</t>
  </si>
  <si>
    <t>63</t>
  </si>
  <si>
    <t>高智源</t>
  </si>
  <si>
    <t>64</t>
  </si>
  <si>
    <t>王銘宏</t>
  </si>
  <si>
    <t>65</t>
  </si>
  <si>
    <t>洪敬忠</t>
  </si>
  <si>
    <t>富則六通訊處</t>
  </si>
  <si>
    <t>66</t>
  </si>
  <si>
    <t>廖宇翔</t>
  </si>
  <si>
    <t>67</t>
  </si>
  <si>
    <t>張祐珮</t>
  </si>
  <si>
    <t>富后通訊處</t>
  </si>
  <si>
    <t>68</t>
  </si>
  <si>
    <t>施昕余</t>
  </si>
  <si>
    <t>中銘通訊處</t>
  </si>
  <si>
    <t>69</t>
  </si>
  <si>
    <t>吳皓誠</t>
  </si>
  <si>
    <t>富亨通訊處</t>
  </si>
  <si>
    <t>70</t>
  </si>
  <si>
    <t>張家瑋</t>
  </si>
  <si>
    <t>71</t>
  </si>
  <si>
    <t>馬英傑</t>
  </si>
  <si>
    <t>72</t>
  </si>
  <si>
    <t>林宏威</t>
  </si>
  <si>
    <t>73</t>
  </si>
  <si>
    <t>陳怡萍</t>
  </si>
  <si>
    <t>74</t>
  </si>
  <si>
    <t>廖家慧</t>
  </si>
  <si>
    <t>75</t>
  </si>
  <si>
    <t>陳龍生</t>
  </si>
  <si>
    <t>富鑽通訊處</t>
  </si>
  <si>
    <t>76</t>
  </si>
  <si>
    <t>葉金玲</t>
  </si>
  <si>
    <t>77</t>
  </si>
  <si>
    <t>吳士侃</t>
  </si>
  <si>
    <t>富北通訊處</t>
  </si>
  <si>
    <t>78</t>
  </si>
  <si>
    <t>林瑋</t>
  </si>
  <si>
    <t>79</t>
  </si>
  <si>
    <t>曾翊雯</t>
  </si>
  <si>
    <t>中沐通訊處</t>
  </si>
  <si>
    <t>80</t>
  </si>
  <si>
    <t>王原軍</t>
  </si>
  <si>
    <t>81</t>
  </si>
  <si>
    <t>鄭占禮</t>
  </si>
  <si>
    <t>1111</t>
  </si>
  <si>
    <t>2222</t>
  </si>
  <si>
    <t>82</t>
  </si>
  <si>
    <t>孫振文</t>
  </si>
  <si>
    <t>83</t>
  </si>
  <si>
    <t>范毓斌</t>
  </si>
  <si>
    <t>84</t>
  </si>
  <si>
    <t>邱仲恩</t>
  </si>
  <si>
    <t>吳修毅</t>
  </si>
  <si>
    <t>資料檢核</t>
  </si>
  <si>
    <t>項目</t>
  </si>
  <si>
    <t>數量</t>
  </si>
  <si>
    <t>名單／說明</t>
  </si>
  <si>
    <t>總表人數</t>
  </si>
  <si>
    <t>桌次有、分房未找到</t>
  </si>
  <si>
    <t>晚宴有、分房未找到</t>
  </si>
  <si>
    <t>分房有、桌次未找到</t>
  </si>
  <si>
    <t>分房有、晚宴未找到</t>
  </si>
  <si>
    <t>整合來源：分房、桌次、晚宴、高鐵、遊覽車。名單共 85 人；房間 44 間；桌次 9 桌；遊覽車 2 車。</t>
  </si>
  <si>
    <t>車次：青島 → 濟南｜2026/07/15｜高鐵 G1074｜14:36–17:20｜座位名單 85 人；全員座位已列</t>
  </si>
  <si>
    <t>車廂</t>
  </si>
  <si>
    <t>座位</t>
  </si>
  <si>
    <t>遊覽車次</t>
  </si>
  <si>
    <t>04D</t>
  </si>
  <si>
    <t>第1車</t>
  </si>
  <si>
    <t>04C</t>
  </si>
  <si>
    <t>04B</t>
  </si>
  <si>
    <t>05C</t>
  </si>
  <si>
    <t>04F</t>
  </si>
  <si>
    <t>05B</t>
  </si>
  <si>
    <t>04A</t>
  </si>
  <si>
    <t>05A</t>
  </si>
  <si>
    <t>05D</t>
  </si>
  <si>
    <t>05F</t>
  </si>
  <si>
    <t>06A</t>
  </si>
  <si>
    <t>06B</t>
  </si>
  <si>
    <t>06C</t>
  </si>
  <si>
    <t>第2車</t>
  </si>
  <si>
    <t>06D</t>
  </si>
  <si>
    <t>07A</t>
  </si>
  <si>
    <t>07C</t>
  </si>
  <si>
    <t>06F</t>
  </si>
  <si>
    <t>07D</t>
  </si>
  <si>
    <t>07B</t>
  </si>
  <si>
    <t>12F</t>
  </si>
  <si>
    <t>14D</t>
  </si>
  <si>
    <t>09B</t>
  </si>
  <si>
    <t>09A</t>
  </si>
  <si>
    <t>09F</t>
  </si>
  <si>
    <t>13A</t>
  </si>
  <si>
    <t>10D</t>
  </si>
  <si>
    <t>10B</t>
  </si>
  <si>
    <t>09C</t>
  </si>
  <si>
    <t>09D</t>
  </si>
  <si>
    <t>10C</t>
  </si>
  <si>
    <t>10F</t>
  </si>
  <si>
    <t>11B</t>
  </si>
  <si>
    <t>12B</t>
  </si>
  <si>
    <t>11F</t>
  </si>
  <si>
    <t>14A</t>
  </si>
  <si>
    <t>10A</t>
  </si>
  <si>
    <t>12A</t>
  </si>
  <si>
    <t>11D</t>
  </si>
  <si>
    <t>12C</t>
  </si>
  <si>
    <t>12D</t>
  </si>
  <si>
    <t>13B</t>
  </si>
  <si>
    <t>16F</t>
  </si>
  <si>
    <t>13C</t>
  </si>
  <si>
    <t>15B</t>
  </si>
  <si>
    <t>13D</t>
  </si>
  <si>
    <t>16D</t>
  </si>
  <si>
    <t>07F</t>
  </si>
  <si>
    <t>08A</t>
  </si>
  <si>
    <t>08D</t>
  </si>
  <si>
    <t>08F</t>
  </si>
  <si>
    <t>15F</t>
  </si>
  <si>
    <t>03C</t>
  </si>
  <si>
    <t>13F</t>
  </si>
  <si>
    <t>16A</t>
  </si>
  <si>
    <t>15A</t>
  </si>
  <si>
    <t>16B</t>
  </si>
  <si>
    <t>16C</t>
  </si>
  <si>
    <t>03F</t>
  </si>
  <si>
    <t>14B</t>
  </si>
  <si>
    <t>15D</t>
  </si>
  <si>
    <t>03D</t>
  </si>
  <si>
    <t>15C</t>
  </si>
  <si>
    <t>14C</t>
  </si>
  <si>
    <t>17B</t>
  </si>
  <si>
    <t>14F</t>
  </si>
  <si>
    <t>17A</t>
  </si>
  <si>
    <t>18C</t>
  </si>
  <si>
    <t>02B</t>
  </si>
  <si>
    <t>02A</t>
  </si>
  <si>
    <t>18A</t>
  </si>
  <si>
    <t>17F</t>
  </si>
  <si>
    <t>18B</t>
  </si>
  <si>
    <t>17C</t>
  </si>
  <si>
    <t>17D</t>
  </si>
  <si>
    <t>02D</t>
  </si>
  <si>
    <t>02C</t>
  </si>
  <si>
    <t>03A</t>
  </si>
  <si>
    <t>02F</t>
  </si>
  <si>
    <t>08C</t>
  </si>
  <si>
    <t>03B</t>
  </si>
  <si>
    <t>08B</t>
  </si>
  <si>
    <t>11C</t>
  </si>
  <si>
    <t>11A</t>
  </si>
  <si>
    <t>用餐桌次名單</t>
  </si>
  <si>
    <t>依最新桌次整理｜共 85 人、9 桌；內容與總表連動。</t>
  </si>
  <si>
    <t>青島房號</t>
  </si>
  <si>
    <t>濟南房號</t>
  </si>
  <si>
    <t>晚宴座位名單</t>
  </si>
  <si>
    <t>依總表晚宴座位整理｜共 85 人；主桌及第 1～9 桌，含課程分組與組長。</t>
  </si>
  <si>
    <t>車次座位已列</t>
  </si>
  <si>
    <t>青島→濟南 G1074</t>
  </si>
  <si>
    <t>車次座位未列</t>
  </si>
  <si>
    <t>遊覽車次已列</t>
  </si>
  <si>
    <t>第1車 42 人；第2車 43 人</t>
  </si>
  <si>
    <t>遊覽車次未列</t>
  </si>
  <si>
    <t>遊覽車次名單</t>
  </si>
  <si>
    <t>依最新車次整理｜共 85 人；第1車 42 人、第2車 43 人。</t>
  </si>
  <si>
    <t>用餐桌次</t>
  </si>
  <si>
    <t>晚宴桌次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</si>
</sst>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11">
    <font>
      <sz val="11"/>
      <name val="Carlito"/>
    </font>
    <font>
      <b/>
      <sz val="11"/>
      <color rgb="FFFFFFFF"/>
      <name val="Carlito"/>
    </font>
    <font>
      <sz val="11"/>
      <color rgb="FF111827"/>
      <name val="Carlito"/>
    </font>
    <font>
      <sz val="11"/>
      <color rgb="FFB45309"/>
      <name val="Carlito"/>
    </font>
    <font>
      <b/>
      <sz val="15"/>
      <color rgb="FFFFFFFF"/>
      <name val="Carlito"/>
    </font>
    <font>
      <sz val="11"/>
      <name val="Carlito"/>
    </font>
    <font>
      <sz val="9"/>
      <name val="Chiron Sans HK TT Heavy"/>
      <family val="3"/>
      <charset val="136"/>
    </font>
    <font>
      <sz val="11"/>
      <color rgb="FF111827"/>
      <name val="Chiron Sans HK TT Heavy"/>
      <family val="3"/>
      <charset val="136"/>
    </font>
    <font>
      <b/>
      <sz val="11"/>
      <color rgb="FF1F4E78"/>
      <name val="Carlito"/>
    </font>
    <font>
      <b/>
      <sz val="18"/>
      <color rgb="FFFFFFFF"/>
      <name val="Carlito"/>
    </font>
    <font>
      <sz val="10"/>
      <color rgb="FF203040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FFFF00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theme="4" tint="0.39997558519241921"/>
      </top>
      <bottom style="thin">
        <color rgb="FFE5E7EB"/>
      </bottom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</borders>
  <cellStyleXfs count="2">
    <xf numFmtId="0" fontId="0" fillId="0" borderId="0"/>
    <xf numFmtId="0" fontId="5" fillId="0" borderId="0"/>
  </cellStyleXfs>
  <cellXfs count="53">
    <xf numFmtId="0" fontId="0" fillId="0" borderId="0" xfId="0"/>
    <xf numFmtId="0" fontId="1" fillId="3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3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3" fillId="0" borderId="4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1" fillId="3" borderId="1" xfId="1" applyFont="1" applyFill="1" applyBorder="1" applyAlignment="1">
      <alignment horizontal="center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0" borderId="9" xfId="1" applyFont="1" applyBorder="1" applyAlignment="1">
      <alignment vertical="center" wrapText="1"/>
    </xf>
    <xf numFmtId="0" fontId="0" fillId="0" borderId="10" xfId="1" applyFont="1" applyBorder="1" applyAlignment="1">
      <alignment vertical="center" wrapText="1"/>
    </xf>
    <xf numFmtId="0" fontId="2" fillId="5" borderId="5" xfId="1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8" borderId="12" xfId="0" applyFill="1" applyBorder="1"/>
    <xf numFmtId="1" fontId="0" fillId="8" borderId="12" xfId="0" applyNumberFormat="1" applyFill="1" applyBorder="1"/>
    <xf numFmtId="0" fontId="0" fillId="9" borderId="12" xfId="0" applyFill="1" applyBorder="1"/>
    <xf numFmtId="1" fontId="0" fillId="9" borderId="12" xfId="0" applyNumberFormat="1" applyFill="1" applyBorder="1"/>
    <xf numFmtId="0" fontId="0" fillId="12" borderId="12" xfId="0" applyFill="1" applyBorder="1"/>
    <xf numFmtId="1" fontId="0" fillId="12" borderId="12" xfId="0" applyNumberFormat="1" applyFill="1" applyBorder="1"/>
    <xf numFmtId="0" fontId="0" fillId="13" borderId="12" xfId="0" applyFill="1" applyBorder="1"/>
    <xf numFmtId="1" fontId="0" fillId="13" borderId="12" xfId="0" applyNumberFormat="1" applyFill="1" applyBorder="1"/>
    <xf numFmtId="0" fontId="9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vertical="center"/>
    </xf>
    <xf numFmtId="0" fontId="8" fillId="11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left" vertical="center"/>
    </xf>
    <xf numFmtId="0" fontId="9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0" fillId="0" borderId="0" xfId="0"/>
  </cellXfs>
  <cellStyles count="2">
    <cellStyle name="Normal" xfId="1" xr:uid="{00000000-0005-0000-0000-000000000000}"/>
    <cellStyle name="一般" xfId="0" builtinId="0"/>
  </cellStyles>
  <dxfs count="2">
    <dxf>
      <font>
        <sz val="11"/>
        <color rgb="FF111827"/>
        <name val="Carlito"/>
      </font>
      <border>
        <left style="thin">
          <color rgb="FFE5E7EB"/>
        </left>
        <right/>
        <top style="thin">
          <color rgb="FFE5E7EB"/>
        </top>
        <bottom style="thin">
          <color rgb="FFE5E7EB"/>
        </bottom>
      </border>
    </dxf>
    <dxf>
      <font>
        <sz val="11"/>
        <color rgb="FF111827"/>
        <name val="Carlito"/>
      </font>
      <numFmt numFmtId="0" formatCode="General"/>
      <fill>
        <patternFill>
          <bgColor theme="4" tint="0.79995117038483843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tedRoomTable" displayName="ConsolidatedRoomTable" ref="A4:L89">
  <tableColumns count="12">
    <tableColumn id="1" xr3:uid="{00000000-0010-0000-0000-000001000000}" name="房號"/>
    <tableColumn id="2" xr3:uid="{00000000-0010-0000-0000-000002000000}" name="編號"/>
    <tableColumn id="3" xr3:uid="{00000000-0010-0000-0000-000003000000}" name="姓名"/>
    <tableColumn id="4" xr3:uid="{00000000-0010-0000-0000-000004000000}" name="單位"/>
    <tableColumn id="5" xr3:uid="{00000000-0010-0000-0000-000005000000}" name="性別"/>
    <tableColumn id="6" xr3:uid="{00000000-0010-0000-0000-000006000000}" name="青島金水皇冠假日飯店房號"/>
    <tableColumn id="7" xr3:uid="{00000000-0010-0000-0000-000007000000}" name="濟南美悅雲禧飯店房號"/>
    <tableColumn id="8" xr3:uid="{00000000-0010-0000-0000-000008000000}" name="桌次"/>
    <tableColumn id="9" xr3:uid="{00000000-0010-0000-0000-000009000000}" name="晚宴座位" dataDxfId="1"/>
    <tableColumn id="10" xr3:uid="{00000000-0010-0000-0000-00000A000000}" name="課程分組"/>
    <tableColumn id="11" xr3:uid="{00000000-0010-0000-0000-00000B000000}" name="組長" dataDxfId="0"/>
    <tableColumn id="12" xr3:uid="{00000000-0010-0000-0000-00000C000000}" name="備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inSeatTable" displayName="TrainSeatTable" ref="M4:N89" totalsRowShown="0">
  <tableColumns count="2">
    <tableColumn id="1" xr3:uid="{00000000-0010-0000-0100-000001000000}" name="車廂"/>
    <tableColumn id="2" xr3:uid="{00000000-0010-0000-0100-000002000000}" name="座位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ourBusAssignmentsTable" displayName="TourBusAssignmentsTable" ref="O4:O89" totalsRowShown="0">
  <tableColumns count="1">
    <tableColumn id="1" xr3:uid="{00000000-0010-0000-0200-000001000000}" name="遊覽車次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DiningTableList" displayName="DiningTableList" ref="A4:H89" totalsRowShown="0">
  <autoFilter ref="A4:H89" xr:uid="{00000000-0009-0000-0100-000006000000}"/>
  <tableColumns count="8">
    <tableColumn id="1" xr3:uid="{00000000-0010-0000-0300-000001000000}" name="桌次"/>
    <tableColumn id="2" xr3:uid="{00000000-0010-0000-0300-000002000000}" name="姓名"/>
    <tableColumn id="3" xr3:uid="{00000000-0010-0000-0300-000003000000}" name="單位"/>
    <tableColumn id="4" xr3:uid="{00000000-0010-0000-0300-000004000000}" name="性別"/>
    <tableColumn id="5" xr3:uid="{00000000-0010-0000-0300-000005000000}" name="房號"/>
    <tableColumn id="6" xr3:uid="{00000000-0010-0000-0300-000006000000}" name="編號"/>
    <tableColumn id="7" xr3:uid="{00000000-0010-0000-0300-000007000000}" name="青島房號"/>
    <tableColumn id="8" xr3:uid="{00000000-0010-0000-0300-000008000000}" name="濟南房號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BanquetTableList" displayName="BanquetTableList" ref="A4:I89" totalsRowShown="0">
  <autoFilter ref="A4:I89" xr:uid="{00000000-0009-0000-0100-000004000000}"/>
  <tableColumns count="9">
    <tableColumn id="1" xr3:uid="{00000000-0010-0000-0400-000001000000}" name="晚宴座位"/>
    <tableColumn id="2" xr3:uid="{00000000-0010-0000-0400-000002000000}" name="課程分組"/>
    <tableColumn id="3" xr3:uid="{00000000-0010-0000-0400-000003000000}" name="組長"/>
    <tableColumn id="4" xr3:uid="{00000000-0010-0000-0400-000004000000}" name="姓名"/>
    <tableColumn id="5" xr3:uid="{00000000-0010-0000-0400-000005000000}" name="單位"/>
    <tableColumn id="6" xr3:uid="{00000000-0010-0000-0400-000006000000}" name="性別"/>
    <tableColumn id="7" xr3:uid="{00000000-0010-0000-0400-000007000000}" name="房號"/>
    <tableColumn id="8" xr3:uid="{00000000-0010-0000-0400-000008000000}" name="編號"/>
    <tableColumn id="9" xr3:uid="{00000000-0010-0000-0400-000009000000}" name="備註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ourBusList" displayName="TourBusList" ref="A4:H89" totalsRowShown="0">
  <autoFilter ref="A4:H89" xr:uid="{00000000-0009-0000-0100-000007000000}"/>
  <tableColumns count="8">
    <tableColumn id="1" xr3:uid="{00000000-0010-0000-0500-000001000000}" name="遊覽車次"/>
    <tableColumn id="2" xr3:uid="{00000000-0010-0000-0500-000002000000}" name="姓名"/>
    <tableColumn id="3" xr3:uid="{00000000-0010-0000-0500-000003000000}" name="單位"/>
    <tableColumn id="4" xr3:uid="{00000000-0010-0000-0500-000004000000}" name="性別"/>
    <tableColumn id="5" xr3:uid="{00000000-0010-0000-0500-000005000000}" name="房號"/>
    <tableColumn id="6" xr3:uid="{00000000-0010-0000-0500-000006000000}" name="編號"/>
    <tableColumn id="7" xr3:uid="{00000000-0010-0000-0500-000007000000}" name="用餐桌次"/>
    <tableColumn id="8" xr3:uid="{00000000-0010-0000-0500-000008000000}" name="晚宴桌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showGridLines="0" tabSelected="1" topLeftCell="A48" workbookViewId="0">
      <selection activeCell="J85" sqref="J85"/>
    </sheetView>
  </sheetViews>
  <sheetFormatPr baseColWidth="10" defaultColWidth="8.83203125" defaultRowHeight="14"/>
  <cols>
    <col min="1" max="2" width="8" customWidth="1"/>
    <col min="3" max="3" width="12" customWidth="1"/>
    <col min="4" max="4" width="18" customWidth="1"/>
    <col min="5" max="5" width="8" customWidth="1"/>
    <col min="6" max="6" width="24" customWidth="1"/>
    <col min="7" max="7" width="22" customWidth="1"/>
    <col min="8" max="14" width="10" customWidth="1"/>
    <col min="15" max="15" width="12" customWidth="1"/>
  </cols>
  <sheetData>
    <row r="1" spans="1:15" ht="25.5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19.5" customHeight="1">
      <c r="A2" s="46" t="s">
        <v>228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15" ht="24" customHeight="1">
      <c r="A3" s="47" t="s">
        <v>229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5" ht="21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31" t="s">
        <v>230</v>
      </c>
      <c r="N4" s="31" t="s">
        <v>231</v>
      </c>
      <c r="O4" s="31" t="s">
        <v>232</v>
      </c>
    </row>
    <row r="5" spans="1:15">
      <c r="A5" s="2" t="s">
        <v>13</v>
      </c>
      <c r="B5" s="3" t="s">
        <v>13</v>
      </c>
      <c r="C5" s="7" t="s">
        <v>14</v>
      </c>
      <c r="D5" s="7" t="s">
        <v>15</v>
      </c>
      <c r="E5" s="3" t="s">
        <v>16</v>
      </c>
      <c r="F5" s="3"/>
      <c r="G5" s="3"/>
      <c r="H5" s="3" t="s">
        <v>41</v>
      </c>
      <c r="I5" s="25" t="s">
        <v>17</v>
      </c>
      <c r="J5" s="3" t="s">
        <v>18</v>
      </c>
      <c r="K5" s="27" t="s">
        <v>11</v>
      </c>
      <c r="L5" s="10"/>
      <c r="M5" s="32">
        <v>14</v>
      </c>
      <c r="N5" s="33" t="s">
        <v>233</v>
      </c>
      <c r="O5" s="31" t="s">
        <v>234</v>
      </c>
    </row>
    <row r="6" spans="1:15">
      <c r="A6" s="4" t="s">
        <v>13</v>
      </c>
      <c r="B6" s="5" t="s">
        <v>19</v>
      </c>
      <c r="C6" s="8" t="s">
        <v>20</v>
      </c>
      <c r="D6" s="8" t="s">
        <v>15</v>
      </c>
      <c r="E6" s="5" t="s">
        <v>16</v>
      </c>
      <c r="F6" s="5"/>
      <c r="G6" s="5"/>
      <c r="H6" s="5" t="s">
        <v>41</v>
      </c>
      <c r="I6" s="5" t="s">
        <v>21</v>
      </c>
      <c r="J6" s="5" t="s">
        <v>22</v>
      </c>
      <c r="K6" s="28"/>
      <c r="L6" s="11"/>
      <c r="M6" s="32">
        <v>14</v>
      </c>
      <c r="N6" s="33" t="s">
        <v>235</v>
      </c>
      <c r="O6" s="31" t="s">
        <v>234</v>
      </c>
    </row>
    <row r="7" spans="1:15">
      <c r="A7" s="4" t="s">
        <v>19</v>
      </c>
      <c r="B7" s="5" t="s">
        <v>23</v>
      </c>
      <c r="C7" s="8" t="s">
        <v>24</v>
      </c>
      <c r="D7" s="8" t="s">
        <v>15</v>
      </c>
      <c r="E7" s="5" t="s">
        <v>25</v>
      </c>
      <c r="F7" s="5"/>
      <c r="G7" s="5"/>
      <c r="H7" s="5" t="s">
        <v>41</v>
      </c>
      <c r="I7" s="5" t="s">
        <v>26</v>
      </c>
      <c r="K7" s="28"/>
      <c r="L7" s="11"/>
      <c r="M7" s="32">
        <v>14</v>
      </c>
      <c r="N7" s="33" t="s">
        <v>236</v>
      </c>
      <c r="O7" s="31" t="s">
        <v>234</v>
      </c>
    </row>
    <row r="8" spans="1:15">
      <c r="A8" s="4" t="s">
        <v>19</v>
      </c>
      <c r="B8" s="5" t="s">
        <v>27</v>
      </c>
      <c r="C8" s="8" t="s">
        <v>28</v>
      </c>
      <c r="D8" s="8" t="s">
        <v>15</v>
      </c>
      <c r="E8" s="5" t="s">
        <v>25</v>
      </c>
      <c r="F8" s="5"/>
      <c r="G8" s="5"/>
      <c r="H8" s="5" t="s">
        <v>41</v>
      </c>
      <c r="I8" s="5" t="s">
        <v>29</v>
      </c>
      <c r="J8" s="5" t="s">
        <v>30</v>
      </c>
      <c r="K8" s="28"/>
      <c r="L8" s="11"/>
      <c r="M8" s="32">
        <v>14</v>
      </c>
      <c r="N8" s="33" t="s">
        <v>237</v>
      </c>
      <c r="O8" s="31" t="s">
        <v>234</v>
      </c>
    </row>
    <row r="9" spans="1:15">
      <c r="A9" s="4" t="s">
        <v>23</v>
      </c>
      <c r="B9" s="5" t="s">
        <v>31</v>
      </c>
      <c r="C9" s="8" t="s">
        <v>32</v>
      </c>
      <c r="D9" s="8" t="s">
        <v>15</v>
      </c>
      <c r="E9" s="5" t="s">
        <v>25</v>
      </c>
      <c r="F9" s="5"/>
      <c r="G9" s="5"/>
      <c r="H9" s="5" t="s">
        <v>41</v>
      </c>
      <c r="I9" s="26" t="s">
        <v>33</v>
      </c>
      <c r="J9" s="5" t="s">
        <v>34</v>
      </c>
      <c r="K9" s="28"/>
      <c r="L9" s="11"/>
      <c r="M9" s="32">
        <v>14</v>
      </c>
      <c r="N9" s="33" t="s">
        <v>238</v>
      </c>
      <c r="O9" s="31" t="s">
        <v>234</v>
      </c>
    </row>
    <row r="10" spans="1:15">
      <c r="A10" s="4" t="s">
        <v>23</v>
      </c>
      <c r="B10" s="5" t="s">
        <v>35</v>
      </c>
      <c r="C10" s="8" t="s">
        <v>36</v>
      </c>
      <c r="D10" s="8" t="s">
        <v>15</v>
      </c>
      <c r="E10" s="5" t="s">
        <v>25</v>
      </c>
      <c r="F10" s="5"/>
      <c r="G10" s="5"/>
      <c r="H10" s="5" t="s">
        <v>41</v>
      </c>
      <c r="I10" s="5" t="s">
        <v>37</v>
      </c>
      <c r="J10" s="5" t="s">
        <v>38</v>
      </c>
      <c r="K10" s="28"/>
      <c r="L10" s="11"/>
      <c r="M10" s="32">
        <v>14</v>
      </c>
      <c r="N10" s="33" t="s">
        <v>239</v>
      </c>
      <c r="O10" s="31" t="s">
        <v>234</v>
      </c>
    </row>
    <row r="11" spans="1:15">
      <c r="A11" s="4" t="s">
        <v>27</v>
      </c>
      <c r="B11" s="5" t="s">
        <v>39</v>
      </c>
      <c r="C11" s="8" t="s">
        <v>40</v>
      </c>
      <c r="D11" s="8" t="s">
        <v>15</v>
      </c>
      <c r="E11" s="5" t="s">
        <v>16</v>
      </c>
      <c r="F11" s="5"/>
      <c r="G11" s="5"/>
      <c r="H11" s="5" t="s">
        <v>41</v>
      </c>
      <c r="I11" s="26" t="s">
        <v>41</v>
      </c>
      <c r="J11" s="5" t="s">
        <v>42</v>
      </c>
      <c r="K11" s="28"/>
      <c r="L11" s="11"/>
      <c r="M11" s="32">
        <v>14</v>
      </c>
      <c r="N11" s="33" t="s">
        <v>240</v>
      </c>
      <c r="O11" s="31" t="s">
        <v>234</v>
      </c>
    </row>
    <row r="12" spans="1:15">
      <c r="A12" s="4" t="s">
        <v>27</v>
      </c>
      <c r="B12" s="5" t="s">
        <v>43</v>
      </c>
      <c r="C12" s="8" t="s">
        <v>44</v>
      </c>
      <c r="D12" s="8" t="s">
        <v>15</v>
      </c>
      <c r="E12" s="5" t="s">
        <v>16</v>
      </c>
      <c r="F12" s="5"/>
      <c r="G12" s="5"/>
      <c r="H12" s="5" t="s">
        <v>41</v>
      </c>
      <c r="I12" s="5" t="s">
        <v>45</v>
      </c>
      <c r="J12" s="5" t="s">
        <v>46</v>
      </c>
      <c r="K12" s="28"/>
      <c r="L12" s="11"/>
      <c r="M12" s="32">
        <v>14</v>
      </c>
      <c r="N12" s="33" t="s">
        <v>241</v>
      </c>
      <c r="O12" s="31" t="s">
        <v>234</v>
      </c>
    </row>
    <row r="13" spans="1:15">
      <c r="A13" s="4" t="s">
        <v>31</v>
      </c>
      <c r="B13" s="5" t="s">
        <v>47</v>
      </c>
      <c r="C13" s="8" t="s">
        <v>48</v>
      </c>
      <c r="D13" s="8" t="s">
        <v>15</v>
      </c>
      <c r="E13" s="5" t="s">
        <v>25</v>
      </c>
      <c r="F13" s="5"/>
      <c r="G13" s="5"/>
      <c r="H13" s="5" t="s">
        <v>41</v>
      </c>
      <c r="I13" s="26" t="s">
        <v>17</v>
      </c>
      <c r="J13" s="5" t="s">
        <v>18</v>
      </c>
      <c r="K13" s="28"/>
      <c r="L13" s="11"/>
      <c r="M13" s="32">
        <v>14</v>
      </c>
      <c r="N13" s="33" t="s">
        <v>242</v>
      </c>
      <c r="O13" s="31" t="s">
        <v>234</v>
      </c>
    </row>
    <row r="14" spans="1:15">
      <c r="A14" s="4" t="s">
        <v>31</v>
      </c>
      <c r="B14" s="5" t="s">
        <v>49</v>
      </c>
      <c r="C14" s="8" t="s">
        <v>50</v>
      </c>
      <c r="D14" s="8" t="s">
        <v>15</v>
      </c>
      <c r="E14" s="5" t="s">
        <v>25</v>
      </c>
      <c r="F14" s="5"/>
      <c r="G14" s="5"/>
      <c r="H14" s="5" t="s">
        <v>41</v>
      </c>
      <c r="I14" s="5" t="s">
        <v>45</v>
      </c>
      <c r="J14" s="5" t="s">
        <v>46</v>
      </c>
      <c r="K14" s="28"/>
      <c r="L14" s="11"/>
      <c r="M14" s="32">
        <v>14</v>
      </c>
      <c r="N14" s="33" t="s">
        <v>243</v>
      </c>
      <c r="O14" s="31" t="s">
        <v>234</v>
      </c>
    </row>
    <row r="15" spans="1:15" ht="19">
      <c r="A15" s="4" t="s">
        <v>35</v>
      </c>
      <c r="B15" s="5" t="s">
        <v>51</v>
      </c>
      <c r="C15" s="8" t="s">
        <v>52</v>
      </c>
      <c r="D15" s="8" t="s">
        <v>53</v>
      </c>
      <c r="E15" s="5" t="s">
        <v>16</v>
      </c>
      <c r="F15" s="5"/>
      <c r="G15" s="5"/>
      <c r="H15" s="5" t="s">
        <v>29</v>
      </c>
      <c r="I15" s="26" t="s">
        <v>41</v>
      </c>
      <c r="J15" s="5" t="s">
        <v>42</v>
      </c>
      <c r="K15" s="30" t="s">
        <v>11</v>
      </c>
      <c r="L15" s="11"/>
      <c r="M15" s="32">
        <v>14</v>
      </c>
      <c r="N15" s="33" t="s">
        <v>244</v>
      </c>
      <c r="O15" s="31" t="s">
        <v>234</v>
      </c>
    </row>
    <row r="16" spans="1:15">
      <c r="A16" s="4" t="s">
        <v>35</v>
      </c>
      <c r="B16" s="5" t="s">
        <v>54</v>
      </c>
      <c r="C16" s="8" t="s">
        <v>55</v>
      </c>
      <c r="D16" s="8" t="s">
        <v>53</v>
      </c>
      <c r="E16" s="5" t="s">
        <v>16</v>
      </c>
      <c r="F16" s="5"/>
      <c r="G16" s="5"/>
      <c r="H16" s="5" t="s">
        <v>29</v>
      </c>
      <c r="I16" s="5" t="s">
        <v>29</v>
      </c>
      <c r="J16" s="5" t="s">
        <v>30</v>
      </c>
      <c r="K16" s="28"/>
      <c r="L16" s="11"/>
      <c r="M16" s="32">
        <v>14</v>
      </c>
      <c r="N16" s="33" t="s">
        <v>245</v>
      </c>
      <c r="O16" s="31" t="s">
        <v>234</v>
      </c>
    </row>
    <row r="17" spans="1:15">
      <c r="A17" s="4" t="s">
        <v>39</v>
      </c>
      <c r="B17" s="5" t="s">
        <v>56</v>
      </c>
      <c r="C17" s="8" t="s">
        <v>57</v>
      </c>
      <c r="D17" s="8" t="s">
        <v>58</v>
      </c>
      <c r="E17" s="5" t="s">
        <v>16</v>
      </c>
      <c r="F17" s="5"/>
      <c r="G17" s="5"/>
      <c r="H17" s="5" t="s">
        <v>21</v>
      </c>
      <c r="I17" s="26" t="s">
        <v>59</v>
      </c>
      <c r="J17" s="5" t="s">
        <v>60</v>
      </c>
      <c r="K17" s="28"/>
      <c r="L17" s="11"/>
      <c r="M17" s="32">
        <v>14</v>
      </c>
      <c r="N17" s="33" t="s">
        <v>246</v>
      </c>
      <c r="O17" s="31" t="s">
        <v>247</v>
      </c>
    </row>
    <row r="18" spans="1:15">
      <c r="A18" s="4" t="s">
        <v>39</v>
      </c>
      <c r="B18" s="5" t="s">
        <v>61</v>
      </c>
      <c r="C18" s="8" t="s">
        <v>62</v>
      </c>
      <c r="D18" s="8" t="s">
        <v>58</v>
      </c>
      <c r="E18" s="5" t="s">
        <v>16</v>
      </c>
      <c r="F18" s="5"/>
      <c r="G18" s="5"/>
      <c r="H18" s="5" t="s">
        <v>21</v>
      </c>
      <c r="I18" s="5" t="s">
        <v>59</v>
      </c>
      <c r="J18" s="5" t="s">
        <v>60</v>
      </c>
      <c r="K18" s="28"/>
      <c r="L18" s="11"/>
      <c r="M18" s="32">
        <v>14</v>
      </c>
      <c r="N18" s="33" t="s">
        <v>248</v>
      </c>
      <c r="O18" s="31" t="s">
        <v>247</v>
      </c>
    </row>
    <row r="19" spans="1:15" ht="19">
      <c r="A19" s="4" t="s">
        <v>43</v>
      </c>
      <c r="B19" s="5" t="s">
        <v>63</v>
      </c>
      <c r="C19" s="8" t="s">
        <v>64</v>
      </c>
      <c r="D19" s="8" t="s">
        <v>58</v>
      </c>
      <c r="E19" s="5" t="s">
        <v>16</v>
      </c>
      <c r="F19" s="5"/>
      <c r="G19" s="5"/>
      <c r="H19" s="5" t="s">
        <v>21</v>
      </c>
      <c r="I19" s="26" t="s">
        <v>45</v>
      </c>
      <c r="J19" s="5" t="s">
        <v>46</v>
      </c>
      <c r="K19" s="30" t="s">
        <v>11</v>
      </c>
      <c r="L19" s="11"/>
      <c r="M19" s="32">
        <v>14</v>
      </c>
      <c r="N19" s="33" t="s">
        <v>249</v>
      </c>
      <c r="O19" s="31" t="s">
        <v>247</v>
      </c>
    </row>
    <row r="20" spans="1:15">
      <c r="A20" s="4" t="s">
        <v>43</v>
      </c>
      <c r="B20" s="5" t="s">
        <v>65</v>
      </c>
      <c r="C20" s="8" t="s">
        <v>66</v>
      </c>
      <c r="D20" s="8" t="s">
        <v>58</v>
      </c>
      <c r="E20" s="5" t="s">
        <v>16</v>
      </c>
      <c r="F20" s="5"/>
      <c r="G20" s="5"/>
      <c r="H20" s="5" t="s">
        <v>21</v>
      </c>
      <c r="I20" s="5" t="s">
        <v>33</v>
      </c>
      <c r="J20" s="5" t="s">
        <v>34</v>
      </c>
      <c r="K20" s="27" t="s">
        <v>11</v>
      </c>
      <c r="L20" s="11"/>
      <c r="M20" s="32">
        <v>14</v>
      </c>
      <c r="N20" s="33" t="s">
        <v>250</v>
      </c>
      <c r="O20" s="31" t="s">
        <v>247</v>
      </c>
    </row>
    <row r="21" spans="1:15">
      <c r="A21" s="4" t="s">
        <v>47</v>
      </c>
      <c r="B21" s="5" t="s">
        <v>67</v>
      </c>
      <c r="C21" s="8" t="s">
        <v>68</v>
      </c>
      <c r="D21" s="8" t="s">
        <v>58</v>
      </c>
      <c r="E21" s="5" t="s">
        <v>25</v>
      </c>
      <c r="F21" s="5"/>
      <c r="G21" s="5"/>
      <c r="H21" s="5" t="s">
        <v>21</v>
      </c>
      <c r="I21" s="26" t="s">
        <v>29</v>
      </c>
      <c r="J21" s="5" t="s">
        <v>30</v>
      </c>
      <c r="K21" s="28"/>
      <c r="L21" s="11"/>
      <c r="M21" s="32">
        <v>14</v>
      </c>
      <c r="N21" s="33" t="s">
        <v>251</v>
      </c>
      <c r="O21" s="31" t="s">
        <v>247</v>
      </c>
    </row>
    <row r="22" spans="1:15">
      <c r="A22" s="4" t="s">
        <v>47</v>
      </c>
      <c r="B22" s="5" t="s">
        <v>69</v>
      </c>
      <c r="C22" s="8" t="s">
        <v>70</v>
      </c>
      <c r="D22" s="8" t="s">
        <v>58</v>
      </c>
      <c r="E22" s="5" t="s">
        <v>25</v>
      </c>
      <c r="F22" s="5"/>
      <c r="G22" s="5"/>
      <c r="H22" s="5" t="s">
        <v>21</v>
      </c>
      <c r="I22" s="5" t="s">
        <v>71</v>
      </c>
      <c r="J22" s="5" t="s">
        <v>72</v>
      </c>
      <c r="K22" s="28"/>
      <c r="L22" s="11"/>
      <c r="M22" s="32">
        <v>14</v>
      </c>
      <c r="N22" s="33" t="s">
        <v>252</v>
      </c>
      <c r="O22" s="31" t="s">
        <v>247</v>
      </c>
    </row>
    <row r="23" spans="1:15">
      <c r="A23" s="4" t="s">
        <v>49</v>
      </c>
      <c r="B23" s="5" t="s">
        <v>73</v>
      </c>
      <c r="C23" s="8" t="s">
        <v>74</v>
      </c>
      <c r="D23" s="8" t="s">
        <v>58</v>
      </c>
      <c r="E23" s="5" t="s">
        <v>25</v>
      </c>
      <c r="F23" s="5"/>
      <c r="G23" s="5"/>
      <c r="H23" s="5" t="s">
        <v>21</v>
      </c>
      <c r="I23" s="26" t="s">
        <v>21</v>
      </c>
      <c r="J23" s="5" t="s">
        <v>22</v>
      </c>
      <c r="K23" s="28"/>
      <c r="L23" s="11"/>
      <c r="M23" s="32">
        <v>14</v>
      </c>
      <c r="N23" s="33" t="s">
        <v>253</v>
      </c>
      <c r="O23" s="31" t="s">
        <v>247</v>
      </c>
    </row>
    <row r="24" spans="1:15">
      <c r="A24" s="4" t="s">
        <v>49</v>
      </c>
      <c r="B24" s="5" t="s">
        <v>75</v>
      </c>
      <c r="C24" s="8" t="s">
        <v>76</v>
      </c>
      <c r="D24" s="8" t="s">
        <v>77</v>
      </c>
      <c r="E24" s="5" t="s">
        <v>25</v>
      </c>
      <c r="F24" s="5"/>
      <c r="G24" s="5"/>
      <c r="H24" s="5" t="s">
        <v>37</v>
      </c>
      <c r="I24" s="5" t="s">
        <v>29</v>
      </c>
      <c r="J24" s="5" t="s">
        <v>30</v>
      </c>
      <c r="K24" s="28"/>
      <c r="L24" s="11"/>
      <c r="M24" s="32">
        <v>14</v>
      </c>
      <c r="N24" s="33" t="s">
        <v>254</v>
      </c>
      <c r="O24" s="31" t="s">
        <v>247</v>
      </c>
    </row>
    <row r="25" spans="1:15">
      <c r="A25" s="4" t="s">
        <v>51</v>
      </c>
      <c r="B25" s="5" t="s">
        <v>78</v>
      </c>
      <c r="C25" s="8" t="s">
        <v>79</v>
      </c>
      <c r="D25" s="8" t="s">
        <v>80</v>
      </c>
      <c r="E25" s="5" t="s">
        <v>25</v>
      </c>
      <c r="F25" s="5"/>
      <c r="G25" s="5"/>
      <c r="H25" s="5" t="s">
        <v>59</v>
      </c>
      <c r="I25" s="26" t="s">
        <v>71</v>
      </c>
      <c r="J25" s="5" t="s">
        <v>72</v>
      </c>
      <c r="K25" s="28"/>
      <c r="L25" s="11"/>
      <c r="M25" s="32">
        <v>14</v>
      </c>
      <c r="N25" s="33" t="s">
        <v>255</v>
      </c>
      <c r="O25" s="31" t="s">
        <v>247</v>
      </c>
    </row>
    <row r="26" spans="1:15">
      <c r="A26" s="4" t="s">
        <v>51</v>
      </c>
      <c r="B26" s="5" t="s">
        <v>81</v>
      </c>
      <c r="C26" s="8" t="s">
        <v>82</v>
      </c>
      <c r="D26" s="8" t="s">
        <v>77</v>
      </c>
      <c r="E26" s="5" t="s">
        <v>25</v>
      </c>
      <c r="F26" s="5"/>
      <c r="G26" s="5"/>
      <c r="H26" s="5" t="s">
        <v>17</v>
      </c>
      <c r="I26" s="5" t="s">
        <v>29</v>
      </c>
      <c r="J26" s="5" t="s">
        <v>30</v>
      </c>
      <c r="K26" s="28"/>
      <c r="L26" s="11"/>
      <c r="M26" s="32">
        <v>14</v>
      </c>
      <c r="N26" s="33" t="s">
        <v>256</v>
      </c>
      <c r="O26" s="31" t="s">
        <v>247</v>
      </c>
    </row>
    <row r="27" spans="1:15">
      <c r="A27" s="4" t="s">
        <v>54</v>
      </c>
      <c r="B27" s="5" t="s">
        <v>83</v>
      </c>
      <c r="C27" s="8" t="s">
        <v>84</v>
      </c>
      <c r="D27" s="8" t="s">
        <v>77</v>
      </c>
      <c r="E27" s="5" t="s">
        <v>16</v>
      </c>
      <c r="F27" s="5"/>
      <c r="G27" s="5"/>
      <c r="H27" s="5" t="s">
        <v>17</v>
      </c>
      <c r="I27" s="26" t="s">
        <v>59</v>
      </c>
      <c r="J27" s="5" t="s">
        <v>60</v>
      </c>
      <c r="K27" s="28"/>
      <c r="L27" s="11"/>
      <c r="M27" s="32">
        <v>14</v>
      </c>
      <c r="N27" s="33" t="s">
        <v>257</v>
      </c>
      <c r="O27" s="31" t="s">
        <v>247</v>
      </c>
    </row>
    <row r="28" spans="1:15">
      <c r="A28" s="4" t="s">
        <v>54</v>
      </c>
      <c r="B28" s="5" t="s">
        <v>85</v>
      </c>
      <c r="C28" s="8" t="s">
        <v>86</v>
      </c>
      <c r="D28" s="8" t="s">
        <v>77</v>
      </c>
      <c r="E28" s="5" t="s">
        <v>16</v>
      </c>
      <c r="F28" s="5"/>
      <c r="G28" s="5"/>
      <c r="H28" s="5" t="s">
        <v>17</v>
      </c>
      <c r="I28" s="5" t="s">
        <v>33</v>
      </c>
      <c r="J28" s="5" t="s">
        <v>34</v>
      </c>
      <c r="K28" s="28"/>
      <c r="L28" s="11"/>
      <c r="M28" s="32">
        <v>14</v>
      </c>
      <c r="N28" s="33" t="s">
        <v>258</v>
      </c>
      <c r="O28" s="31" t="s">
        <v>247</v>
      </c>
    </row>
    <row r="29" spans="1:15">
      <c r="A29" s="4" t="s">
        <v>56</v>
      </c>
      <c r="B29" s="5" t="s">
        <v>87</v>
      </c>
      <c r="C29" s="8" t="s">
        <v>88</v>
      </c>
      <c r="D29" s="8" t="s">
        <v>77</v>
      </c>
      <c r="E29" s="5" t="s">
        <v>16</v>
      </c>
      <c r="F29" s="5"/>
      <c r="G29" s="5"/>
      <c r="H29" s="5" t="s">
        <v>37</v>
      </c>
      <c r="I29" s="26" t="s">
        <v>41</v>
      </c>
      <c r="J29" s="5" t="s">
        <v>42</v>
      </c>
      <c r="K29" s="28"/>
      <c r="L29" s="11"/>
      <c r="M29" s="32">
        <v>14</v>
      </c>
      <c r="N29" s="33" t="s">
        <v>259</v>
      </c>
      <c r="O29" s="31" t="s">
        <v>247</v>
      </c>
    </row>
    <row r="30" spans="1:15">
      <c r="A30" s="4" t="s">
        <v>56</v>
      </c>
      <c r="B30" s="5" t="s">
        <v>89</v>
      </c>
      <c r="C30" s="8" t="s">
        <v>90</v>
      </c>
      <c r="D30" s="8" t="s">
        <v>77</v>
      </c>
      <c r="E30" s="5" t="s">
        <v>16</v>
      </c>
      <c r="F30" s="5"/>
      <c r="G30" s="5"/>
      <c r="H30" s="5" t="s">
        <v>17</v>
      </c>
      <c r="I30" s="5" t="s">
        <v>33</v>
      </c>
      <c r="J30" s="5" t="s">
        <v>34</v>
      </c>
      <c r="K30" s="28"/>
      <c r="L30" s="11"/>
      <c r="M30" s="32">
        <v>14</v>
      </c>
      <c r="N30" s="33" t="s">
        <v>260</v>
      </c>
      <c r="O30" s="31" t="s">
        <v>247</v>
      </c>
    </row>
    <row r="31" spans="1:15">
      <c r="A31" s="4" t="s">
        <v>61</v>
      </c>
      <c r="B31" s="5" t="s">
        <v>91</v>
      </c>
      <c r="C31" s="8" t="s">
        <v>92</v>
      </c>
      <c r="D31" s="8" t="s">
        <v>77</v>
      </c>
      <c r="E31" s="5" t="s">
        <v>25</v>
      </c>
      <c r="F31" s="5"/>
      <c r="G31" s="5"/>
      <c r="H31" s="5" t="s">
        <v>17</v>
      </c>
      <c r="I31" s="26" t="s">
        <v>37</v>
      </c>
      <c r="J31" s="5" t="s">
        <v>38</v>
      </c>
      <c r="K31" s="28"/>
      <c r="L31" s="11"/>
      <c r="M31" s="32">
        <v>14</v>
      </c>
      <c r="N31" s="33" t="s">
        <v>261</v>
      </c>
      <c r="O31" s="31" t="s">
        <v>247</v>
      </c>
    </row>
    <row r="32" spans="1:15">
      <c r="A32" s="4" t="s">
        <v>61</v>
      </c>
      <c r="B32" s="5" t="s">
        <v>93</v>
      </c>
      <c r="C32" s="8" t="s">
        <v>94</v>
      </c>
      <c r="D32" s="8" t="s">
        <v>77</v>
      </c>
      <c r="E32" s="5" t="s">
        <v>25</v>
      </c>
      <c r="F32" s="5"/>
      <c r="G32" s="5"/>
      <c r="H32" s="5" t="s">
        <v>17</v>
      </c>
      <c r="I32" s="5" t="s">
        <v>37</v>
      </c>
      <c r="J32" s="5" t="s">
        <v>38</v>
      </c>
      <c r="K32" s="28"/>
      <c r="L32" s="11"/>
      <c r="M32" s="32">
        <v>14</v>
      </c>
      <c r="N32" s="33" t="s">
        <v>262</v>
      </c>
      <c r="O32" s="31" t="s">
        <v>247</v>
      </c>
    </row>
    <row r="33" spans="1:15">
      <c r="A33" s="4" t="s">
        <v>63</v>
      </c>
      <c r="B33" s="5" t="s">
        <v>95</v>
      </c>
      <c r="C33" s="8" t="s">
        <v>96</v>
      </c>
      <c r="D33" s="8" t="s">
        <v>77</v>
      </c>
      <c r="E33" s="5" t="s">
        <v>25</v>
      </c>
      <c r="F33" s="5"/>
      <c r="G33" s="5"/>
      <c r="H33" s="5" t="s">
        <v>17</v>
      </c>
      <c r="I33" s="26" t="s">
        <v>59</v>
      </c>
      <c r="J33" s="5" t="s">
        <v>60</v>
      </c>
      <c r="K33" s="28"/>
      <c r="L33" s="11"/>
      <c r="M33" s="32">
        <v>14</v>
      </c>
      <c r="N33" s="33" t="s">
        <v>263</v>
      </c>
      <c r="O33" s="31" t="s">
        <v>247</v>
      </c>
    </row>
    <row r="34" spans="1:15">
      <c r="A34" s="4" t="s">
        <v>63</v>
      </c>
      <c r="B34" s="5" t="s">
        <v>97</v>
      </c>
      <c r="C34" s="8" t="s">
        <v>98</v>
      </c>
      <c r="D34" s="8" t="s">
        <v>77</v>
      </c>
      <c r="E34" s="5" t="s">
        <v>25</v>
      </c>
      <c r="F34" s="5"/>
      <c r="G34" s="5"/>
      <c r="H34" s="5" t="s">
        <v>17</v>
      </c>
      <c r="I34" s="5" t="s">
        <v>33</v>
      </c>
      <c r="J34" s="5" t="s">
        <v>34</v>
      </c>
      <c r="K34" s="28"/>
      <c r="L34" s="11"/>
      <c r="M34" s="32">
        <v>14</v>
      </c>
      <c r="N34" s="33" t="s">
        <v>264</v>
      </c>
      <c r="O34" s="31" t="s">
        <v>247</v>
      </c>
    </row>
    <row r="35" spans="1:15">
      <c r="A35" s="4" t="s">
        <v>65</v>
      </c>
      <c r="B35" s="5" t="s">
        <v>99</v>
      </c>
      <c r="C35" s="8" t="s">
        <v>100</v>
      </c>
      <c r="D35" s="8" t="s">
        <v>77</v>
      </c>
      <c r="E35" s="5" t="s">
        <v>16</v>
      </c>
      <c r="F35" s="5"/>
      <c r="G35" s="5"/>
      <c r="H35" s="5" t="s">
        <v>17</v>
      </c>
      <c r="I35" s="26" t="s">
        <v>45</v>
      </c>
      <c r="J35" s="5" t="s">
        <v>46</v>
      </c>
      <c r="K35" s="28"/>
      <c r="L35" s="11"/>
      <c r="M35" s="32">
        <v>14</v>
      </c>
      <c r="N35" s="33" t="s">
        <v>265</v>
      </c>
      <c r="O35" s="31" t="s">
        <v>247</v>
      </c>
    </row>
    <row r="36" spans="1:15">
      <c r="A36" s="4" t="s">
        <v>65</v>
      </c>
      <c r="B36" s="5" t="s">
        <v>101</v>
      </c>
      <c r="C36" s="8" t="s">
        <v>102</v>
      </c>
      <c r="D36" s="8" t="s">
        <v>77</v>
      </c>
      <c r="E36" s="5" t="s">
        <v>16</v>
      </c>
      <c r="F36" s="5"/>
      <c r="G36" s="5"/>
      <c r="H36" s="5" t="s">
        <v>37</v>
      </c>
      <c r="I36" s="5" t="s">
        <v>21</v>
      </c>
      <c r="J36" s="5" t="s">
        <v>22</v>
      </c>
      <c r="K36" s="28"/>
      <c r="L36" s="11"/>
      <c r="M36" s="32">
        <v>14</v>
      </c>
      <c r="N36" s="33" t="s">
        <v>266</v>
      </c>
      <c r="O36" s="31" t="s">
        <v>247</v>
      </c>
    </row>
    <row r="37" spans="1:15">
      <c r="A37" s="4" t="s">
        <v>67</v>
      </c>
      <c r="B37" s="5" t="s">
        <v>103</v>
      </c>
      <c r="C37" s="8" t="s">
        <v>104</v>
      </c>
      <c r="D37" s="8" t="s">
        <v>77</v>
      </c>
      <c r="E37" s="5" t="s">
        <v>16</v>
      </c>
      <c r="F37" s="5"/>
      <c r="G37" s="5"/>
      <c r="H37" s="5" t="s">
        <v>37</v>
      </c>
      <c r="I37" s="26" t="s">
        <v>37</v>
      </c>
      <c r="J37" s="5" t="s">
        <v>38</v>
      </c>
      <c r="K37" s="28"/>
      <c r="L37" s="11"/>
      <c r="M37" s="32">
        <v>14</v>
      </c>
      <c r="N37" s="33" t="s">
        <v>267</v>
      </c>
      <c r="O37" s="31" t="s">
        <v>247</v>
      </c>
    </row>
    <row r="38" spans="1:15">
      <c r="A38" s="4" t="s">
        <v>67</v>
      </c>
      <c r="B38" s="5" t="s">
        <v>105</v>
      </c>
      <c r="C38" s="8" t="s">
        <v>106</v>
      </c>
      <c r="D38" s="8" t="s">
        <v>77</v>
      </c>
      <c r="E38" s="5" t="s">
        <v>16</v>
      </c>
      <c r="F38" s="5"/>
      <c r="G38" s="5"/>
      <c r="H38" s="5" t="s">
        <v>37</v>
      </c>
      <c r="I38" s="5" t="s">
        <v>33</v>
      </c>
      <c r="J38" s="5" t="s">
        <v>34</v>
      </c>
      <c r="K38" s="28"/>
      <c r="L38" s="11"/>
      <c r="M38" s="32">
        <v>14</v>
      </c>
      <c r="N38" s="33" t="s">
        <v>268</v>
      </c>
      <c r="O38" s="31" t="s">
        <v>247</v>
      </c>
    </row>
    <row r="39" spans="1:15">
      <c r="A39" s="4" t="s">
        <v>69</v>
      </c>
      <c r="B39" s="5" t="s">
        <v>107</v>
      </c>
      <c r="C39" s="8" t="s">
        <v>108</v>
      </c>
      <c r="D39" s="8" t="s">
        <v>77</v>
      </c>
      <c r="E39" s="5" t="s">
        <v>16</v>
      </c>
      <c r="F39" s="5"/>
      <c r="G39" s="5"/>
      <c r="H39" s="5" t="s">
        <v>59</v>
      </c>
      <c r="I39" s="26" t="s">
        <v>41</v>
      </c>
      <c r="J39" s="5" t="s">
        <v>42</v>
      </c>
      <c r="K39" s="28"/>
      <c r="L39" s="11"/>
      <c r="M39" s="32">
        <v>14</v>
      </c>
      <c r="N39" s="33" t="s">
        <v>269</v>
      </c>
      <c r="O39" s="31" t="s">
        <v>247</v>
      </c>
    </row>
    <row r="40" spans="1:15">
      <c r="A40" s="4" t="s">
        <v>69</v>
      </c>
      <c r="B40" s="5" t="s">
        <v>109</v>
      </c>
      <c r="C40" s="8" t="s">
        <v>110</v>
      </c>
      <c r="D40" s="8" t="s">
        <v>77</v>
      </c>
      <c r="E40" s="5" t="s">
        <v>16</v>
      </c>
      <c r="F40" s="5"/>
      <c r="G40" s="5"/>
      <c r="H40" s="5" t="s">
        <v>59</v>
      </c>
      <c r="I40" s="5" t="s">
        <v>45</v>
      </c>
      <c r="J40" s="5" t="s">
        <v>46</v>
      </c>
      <c r="K40" s="28"/>
      <c r="L40" s="11"/>
      <c r="M40" s="32">
        <v>14</v>
      </c>
      <c r="N40" s="33" t="s">
        <v>270</v>
      </c>
      <c r="O40" s="31" t="s">
        <v>247</v>
      </c>
    </row>
    <row r="41" spans="1:15">
      <c r="A41" s="4" t="s">
        <v>73</v>
      </c>
      <c r="B41" s="5" t="s">
        <v>111</v>
      </c>
      <c r="C41" s="8" t="s">
        <v>112</v>
      </c>
      <c r="D41" s="8" t="s">
        <v>77</v>
      </c>
      <c r="E41" s="5" t="s">
        <v>25</v>
      </c>
      <c r="F41" s="5"/>
      <c r="G41" s="5"/>
      <c r="H41" s="5" t="s">
        <v>37</v>
      </c>
      <c r="I41" s="26" t="s">
        <v>45</v>
      </c>
      <c r="J41" s="5" t="s">
        <v>46</v>
      </c>
      <c r="K41" s="28"/>
      <c r="L41" s="11"/>
      <c r="M41" s="32">
        <v>14</v>
      </c>
      <c r="N41" s="33" t="s">
        <v>271</v>
      </c>
      <c r="O41" s="31" t="s">
        <v>247</v>
      </c>
    </row>
    <row r="42" spans="1:15">
      <c r="A42" s="4" t="s">
        <v>73</v>
      </c>
      <c r="B42" s="5" t="s">
        <v>113</v>
      </c>
      <c r="C42" s="8" t="s">
        <v>114</v>
      </c>
      <c r="D42" s="8" t="s">
        <v>77</v>
      </c>
      <c r="E42" s="5" t="s">
        <v>16</v>
      </c>
      <c r="F42" s="5"/>
      <c r="G42" s="5"/>
      <c r="H42" s="5" t="s">
        <v>37</v>
      </c>
      <c r="I42" s="5" t="s">
        <v>17</v>
      </c>
      <c r="J42" s="5" t="s">
        <v>18</v>
      </c>
      <c r="K42" s="28"/>
      <c r="L42" s="11"/>
      <c r="M42" s="32">
        <v>14</v>
      </c>
      <c r="N42" s="33" t="s">
        <v>272</v>
      </c>
      <c r="O42" s="31" t="s">
        <v>247</v>
      </c>
    </row>
    <row r="43" spans="1:15">
      <c r="A43" s="4" t="s">
        <v>75</v>
      </c>
      <c r="B43" s="5" t="s">
        <v>115</v>
      </c>
      <c r="C43" s="8" t="s">
        <v>116</v>
      </c>
      <c r="D43" s="8" t="s">
        <v>80</v>
      </c>
      <c r="E43" s="5" t="s">
        <v>16</v>
      </c>
      <c r="F43" s="5"/>
      <c r="G43" s="5"/>
      <c r="H43" s="5" t="s">
        <v>37</v>
      </c>
      <c r="I43" s="26" t="s">
        <v>21</v>
      </c>
      <c r="J43" s="5" t="s">
        <v>22</v>
      </c>
      <c r="K43" s="28"/>
      <c r="L43" s="11"/>
      <c r="M43" s="32">
        <v>14</v>
      </c>
      <c r="N43" s="33" t="s">
        <v>273</v>
      </c>
      <c r="O43" s="31" t="s">
        <v>247</v>
      </c>
    </row>
    <row r="44" spans="1:15">
      <c r="A44" s="4" t="s">
        <v>75</v>
      </c>
      <c r="B44" s="5" t="s">
        <v>117</v>
      </c>
      <c r="C44" s="8" t="s">
        <v>118</v>
      </c>
      <c r="D44" s="8" t="s">
        <v>80</v>
      </c>
      <c r="E44" s="5" t="s">
        <v>16</v>
      </c>
      <c r="F44" s="5"/>
      <c r="G44" s="5"/>
      <c r="H44" s="5" t="s">
        <v>37</v>
      </c>
      <c r="I44" s="5" t="s">
        <v>29</v>
      </c>
      <c r="J44" s="5" t="s">
        <v>30</v>
      </c>
      <c r="K44" s="28"/>
      <c r="L44" s="11"/>
      <c r="M44" s="32">
        <v>14</v>
      </c>
      <c r="N44" s="33" t="s">
        <v>274</v>
      </c>
      <c r="O44" s="31" t="s">
        <v>247</v>
      </c>
    </row>
    <row r="45" spans="1:15">
      <c r="A45" s="4" t="s">
        <v>78</v>
      </c>
      <c r="B45" s="5" t="s">
        <v>119</v>
      </c>
      <c r="C45" s="8" t="s">
        <v>120</v>
      </c>
      <c r="D45" s="8" t="s">
        <v>121</v>
      </c>
      <c r="E45" s="5" t="s">
        <v>16</v>
      </c>
      <c r="F45" s="5"/>
      <c r="G45" s="5"/>
      <c r="H45" s="5" t="s">
        <v>33</v>
      </c>
      <c r="I45" s="5" t="s">
        <v>26</v>
      </c>
      <c r="K45" s="28"/>
      <c r="L45" s="11"/>
      <c r="M45" s="32">
        <v>14</v>
      </c>
      <c r="N45" s="33" t="s">
        <v>275</v>
      </c>
      <c r="O45" s="31" t="s">
        <v>234</v>
      </c>
    </row>
    <row r="46" spans="1:15">
      <c r="A46" s="4" t="s">
        <v>78</v>
      </c>
      <c r="B46" s="5" t="s">
        <v>122</v>
      </c>
      <c r="C46" s="8" t="s">
        <v>123</v>
      </c>
      <c r="D46" s="8" t="s">
        <v>80</v>
      </c>
      <c r="E46" s="5" t="s">
        <v>16</v>
      </c>
      <c r="F46" s="5"/>
      <c r="G46" s="5"/>
      <c r="H46" s="5" t="s">
        <v>45</v>
      </c>
      <c r="I46" s="5" t="s">
        <v>17</v>
      </c>
      <c r="J46" s="5" t="s">
        <v>18</v>
      </c>
      <c r="K46" s="28"/>
      <c r="L46" s="11"/>
      <c r="M46" s="32">
        <v>14</v>
      </c>
      <c r="N46" s="33" t="s">
        <v>276</v>
      </c>
      <c r="O46" s="31" t="s">
        <v>247</v>
      </c>
    </row>
    <row r="47" spans="1:15">
      <c r="A47" s="4" t="s">
        <v>81</v>
      </c>
      <c r="B47" s="5" t="s">
        <v>124</v>
      </c>
      <c r="C47" s="8" t="s">
        <v>125</v>
      </c>
      <c r="D47" s="8" t="s">
        <v>121</v>
      </c>
      <c r="E47" s="5" t="s">
        <v>25</v>
      </c>
      <c r="F47" s="5"/>
      <c r="G47" s="5"/>
      <c r="H47" s="5" t="s">
        <v>71</v>
      </c>
      <c r="I47" s="26" t="s">
        <v>59</v>
      </c>
      <c r="J47" s="5" t="s">
        <v>60</v>
      </c>
      <c r="K47" s="28"/>
      <c r="L47" s="11"/>
      <c r="M47" s="32">
        <v>14</v>
      </c>
      <c r="N47" s="33" t="s">
        <v>277</v>
      </c>
      <c r="O47" s="31" t="s">
        <v>234</v>
      </c>
    </row>
    <row r="48" spans="1:15">
      <c r="A48" s="4" t="s">
        <v>81</v>
      </c>
      <c r="B48" s="5" t="s">
        <v>126</v>
      </c>
      <c r="C48" s="8" t="s">
        <v>127</v>
      </c>
      <c r="D48" s="8" t="s">
        <v>80</v>
      </c>
      <c r="E48" s="5" t="s">
        <v>25</v>
      </c>
      <c r="F48" s="5"/>
      <c r="G48" s="5"/>
      <c r="H48" s="5" t="s">
        <v>45</v>
      </c>
      <c r="I48" s="5" t="s">
        <v>33</v>
      </c>
      <c r="J48" s="5" t="s">
        <v>34</v>
      </c>
      <c r="K48" s="28"/>
      <c r="L48" s="11"/>
      <c r="M48" s="32">
        <v>14</v>
      </c>
      <c r="N48" s="33" t="s">
        <v>278</v>
      </c>
      <c r="O48" s="31" t="s">
        <v>247</v>
      </c>
    </row>
    <row r="49" spans="1:15">
      <c r="A49" s="4" t="s">
        <v>83</v>
      </c>
      <c r="B49" s="5" t="s">
        <v>128</v>
      </c>
      <c r="C49" s="8" t="s">
        <v>129</v>
      </c>
      <c r="D49" s="8" t="s">
        <v>121</v>
      </c>
      <c r="E49" s="5" t="s">
        <v>25</v>
      </c>
      <c r="F49" s="5"/>
      <c r="G49" s="5"/>
      <c r="H49" s="5" t="s">
        <v>71</v>
      </c>
      <c r="I49" s="26" t="s">
        <v>45</v>
      </c>
      <c r="J49" s="5" t="s">
        <v>46</v>
      </c>
      <c r="K49" s="28"/>
      <c r="L49" s="11"/>
      <c r="M49" s="32">
        <v>14</v>
      </c>
      <c r="N49" s="33" t="s">
        <v>279</v>
      </c>
      <c r="O49" s="31" t="s">
        <v>234</v>
      </c>
    </row>
    <row r="50" spans="1:15">
      <c r="A50" s="4" t="s">
        <v>83</v>
      </c>
      <c r="B50" s="5" t="s">
        <v>130</v>
      </c>
      <c r="C50" s="8" t="s">
        <v>131</v>
      </c>
      <c r="D50" s="8" t="s">
        <v>80</v>
      </c>
      <c r="E50" s="5" t="s">
        <v>25</v>
      </c>
      <c r="F50" s="5"/>
      <c r="G50" s="5"/>
      <c r="H50" s="5" t="s">
        <v>71</v>
      </c>
      <c r="I50" s="5" t="s">
        <v>37</v>
      </c>
      <c r="J50" s="5" t="s">
        <v>38</v>
      </c>
      <c r="K50" s="28"/>
      <c r="L50" s="11"/>
      <c r="M50" s="32">
        <v>14</v>
      </c>
      <c r="N50" s="33" t="s">
        <v>280</v>
      </c>
      <c r="O50" s="31" t="s">
        <v>234</v>
      </c>
    </row>
    <row r="51" spans="1:15">
      <c r="A51" s="4" t="s">
        <v>85</v>
      </c>
      <c r="B51" s="5" t="s">
        <v>132</v>
      </c>
      <c r="C51" s="8" t="s">
        <v>133</v>
      </c>
      <c r="D51" s="8" t="s">
        <v>134</v>
      </c>
      <c r="E51" s="5" t="s">
        <v>25</v>
      </c>
      <c r="F51" s="5"/>
      <c r="G51" s="5"/>
      <c r="H51" s="5" t="s">
        <v>33</v>
      </c>
      <c r="I51" s="26" t="s">
        <v>37</v>
      </c>
      <c r="J51" s="5" t="s">
        <v>38</v>
      </c>
      <c r="K51" s="28"/>
      <c r="L51" s="11"/>
      <c r="M51" s="32">
        <v>14</v>
      </c>
      <c r="N51" s="33" t="s">
        <v>281</v>
      </c>
      <c r="O51" s="31" t="s">
        <v>234</v>
      </c>
    </row>
    <row r="52" spans="1:15">
      <c r="A52" s="4" t="s">
        <v>85</v>
      </c>
      <c r="B52" s="5" t="s">
        <v>135</v>
      </c>
      <c r="C52" s="8" t="s">
        <v>136</v>
      </c>
      <c r="D52" s="8" t="s">
        <v>134</v>
      </c>
      <c r="E52" s="5" t="s">
        <v>25</v>
      </c>
      <c r="F52" s="5"/>
      <c r="G52" s="5"/>
      <c r="H52" s="5" t="s">
        <v>33</v>
      </c>
      <c r="I52" s="5" t="s">
        <v>41</v>
      </c>
      <c r="J52" s="5" t="s">
        <v>42</v>
      </c>
      <c r="K52" s="28"/>
      <c r="L52" s="11"/>
      <c r="M52" s="32">
        <v>14</v>
      </c>
      <c r="N52" s="33" t="s">
        <v>282</v>
      </c>
      <c r="O52" s="31" t="s">
        <v>234</v>
      </c>
    </row>
    <row r="53" spans="1:15">
      <c r="A53" s="4" t="s">
        <v>87</v>
      </c>
      <c r="B53" s="5" t="s">
        <v>137</v>
      </c>
      <c r="C53" s="8" t="s">
        <v>138</v>
      </c>
      <c r="D53" s="8" t="s">
        <v>134</v>
      </c>
      <c r="E53" s="5" t="s">
        <v>25</v>
      </c>
      <c r="F53" s="5"/>
      <c r="G53" s="5"/>
      <c r="H53" s="5" t="s">
        <v>33</v>
      </c>
      <c r="I53" s="26" t="s">
        <v>21</v>
      </c>
      <c r="J53" s="5" t="s">
        <v>22</v>
      </c>
      <c r="K53" s="28"/>
      <c r="L53" s="11"/>
      <c r="M53" s="32">
        <v>14</v>
      </c>
      <c r="N53" s="33" t="s">
        <v>283</v>
      </c>
      <c r="O53" s="31" t="s">
        <v>234</v>
      </c>
    </row>
    <row r="54" spans="1:15">
      <c r="A54" s="4" t="s">
        <v>87</v>
      </c>
      <c r="B54" s="5" t="s">
        <v>139</v>
      </c>
      <c r="C54" s="8" t="s">
        <v>140</v>
      </c>
      <c r="D54" s="8" t="s">
        <v>134</v>
      </c>
      <c r="E54" s="5" t="s">
        <v>25</v>
      </c>
      <c r="F54" s="5"/>
      <c r="G54" s="5"/>
      <c r="H54" s="5" t="s">
        <v>33</v>
      </c>
      <c r="I54" s="5" t="s">
        <v>17</v>
      </c>
      <c r="J54" s="5" t="s">
        <v>18</v>
      </c>
      <c r="K54" s="28"/>
      <c r="L54" s="11"/>
      <c r="M54" s="32">
        <v>14</v>
      </c>
      <c r="N54" s="33" t="s">
        <v>284</v>
      </c>
      <c r="O54" s="31" t="s">
        <v>234</v>
      </c>
    </row>
    <row r="55" spans="1:15">
      <c r="A55" s="4" t="s">
        <v>89</v>
      </c>
      <c r="B55" s="5" t="s">
        <v>141</v>
      </c>
      <c r="C55" s="8" t="s">
        <v>142</v>
      </c>
      <c r="D55" s="8" t="s">
        <v>80</v>
      </c>
      <c r="E55" s="5" t="s">
        <v>25</v>
      </c>
      <c r="F55" s="5"/>
      <c r="G55" s="5"/>
      <c r="H55" s="5" t="s">
        <v>71</v>
      </c>
      <c r="I55" s="26" t="s">
        <v>29</v>
      </c>
      <c r="J55" s="5" t="s">
        <v>30</v>
      </c>
      <c r="K55" s="27" t="s">
        <v>11</v>
      </c>
      <c r="L55" s="11"/>
      <c r="M55" s="32">
        <v>14</v>
      </c>
      <c r="N55" s="33" t="s">
        <v>285</v>
      </c>
      <c r="O55" s="31" t="s">
        <v>234</v>
      </c>
    </row>
    <row r="56" spans="1:15">
      <c r="A56" s="4" t="s">
        <v>89</v>
      </c>
      <c r="B56" s="5" t="s">
        <v>143</v>
      </c>
      <c r="C56" s="8" t="s">
        <v>144</v>
      </c>
      <c r="D56" s="8" t="s">
        <v>80</v>
      </c>
      <c r="E56" s="5" t="s">
        <v>25</v>
      </c>
      <c r="F56" s="5"/>
      <c r="G56" s="5"/>
      <c r="H56" s="5" t="s">
        <v>71</v>
      </c>
      <c r="I56" s="5" t="s">
        <v>37</v>
      </c>
      <c r="J56" s="5" t="s">
        <v>38</v>
      </c>
      <c r="K56" s="28"/>
      <c r="L56" s="11"/>
      <c r="M56" s="32">
        <v>14</v>
      </c>
      <c r="N56" s="33" t="s">
        <v>286</v>
      </c>
      <c r="O56" s="31" t="s">
        <v>234</v>
      </c>
    </row>
    <row r="57" spans="1:15">
      <c r="A57" s="4" t="s">
        <v>91</v>
      </c>
      <c r="B57" s="5" t="s">
        <v>145</v>
      </c>
      <c r="C57" s="8" t="s">
        <v>146</v>
      </c>
      <c r="D57" s="8" t="s">
        <v>80</v>
      </c>
      <c r="E57" s="5" t="s">
        <v>25</v>
      </c>
      <c r="F57" s="5"/>
      <c r="G57" s="5"/>
      <c r="H57" s="5" t="s">
        <v>59</v>
      </c>
      <c r="I57" s="26" t="s">
        <v>21</v>
      </c>
      <c r="J57" s="5" t="s">
        <v>22</v>
      </c>
      <c r="K57" s="28"/>
      <c r="L57" s="11"/>
      <c r="M57" s="32">
        <v>14</v>
      </c>
      <c r="N57" s="33" t="s">
        <v>287</v>
      </c>
      <c r="O57" s="31" t="s">
        <v>247</v>
      </c>
    </row>
    <row r="58" spans="1:15">
      <c r="A58" s="4" t="s">
        <v>91</v>
      </c>
      <c r="B58" s="5" t="s">
        <v>147</v>
      </c>
      <c r="C58" s="8" t="s">
        <v>148</v>
      </c>
      <c r="D58" s="8" t="s">
        <v>80</v>
      </c>
      <c r="E58" s="5" t="s">
        <v>25</v>
      </c>
      <c r="F58" s="5"/>
      <c r="G58" s="5"/>
      <c r="H58" s="5" t="s">
        <v>45</v>
      </c>
      <c r="I58" s="5" t="s">
        <v>59</v>
      </c>
      <c r="J58" s="5" t="s">
        <v>60</v>
      </c>
      <c r="K58" s="28"/>
      <c r="L58" s="11"/>
      <c r="M58" s="32">
        <v>14</v>
      </c>
      <c r="N58" s="33" t="s">
        <v>288</v>
      </c>
      <c r="O58" s="31" t="s">
        <v>247</v>
      </c>
    </row>
    <row r="59" spans="1:15">
      <c r="A59" s="4" t="s">
        <v>93</v>
      </c>
      <c r="B59" s="5" t="s">
        <v>149</v>
      </c>
      <c r="C59" s="8" t="s">
        <v>150</v>
      </c>
      <c r="D59" s="8" t="s">
        <v>80</v>
      </c>
      <c r="E59" s="5" t="s">
        <v>25</v>
      </c>
      <c r="F59" s="5"/>
      <c r="G59" s="5"/>
      <c r="H59" s="5" t="s">
        <v>59</v>
      </c>
      <c r="I59" s="26" t="s">
        <v>41</v>
      </c>
      <c r="J59" s="5" t="s">
        <v>42</v>
      </c>
      <c r="K59" s="28"/>
      <c r="L59" s="11"/>
      <c r="M59" s="32">
        <v>14</v>
      </c>
      <c r="N59" s="33" t="s">
        <v>289</v>
      </c>
      <c r="O59" s="31" t="s">
        <v>247</v>
      </c>
    </row>
    <row r="60" spans="1:15">
      <c r="A60" s="4" t="s">
        <v>93</v>
      </c>
      <c r="B60" s="5" t="s">
        <v>151</v>
      </c>
      <c r="C60" s="8" t="s">
        <v>152</v>
      </c>
      <c r="D60" s="8" t="s">
        <v>80</v>
      </c>
      <c r="E60" s="5" t="s">
        <v>25</v>
      </c>
      <c r="F60" s="5"/>
      <c r="G60" s="5"/>
      <c r="H60" s="5" t="s">
        <v>59</v>
      </c>
      <c r="I60" s="5" t="s">
        <v>45</v>
      </c>
      <c r="J60" s="5" t="s">
        <v>46</v>
      </c>
      <c r="K60" s="28"/>
      <c r="L60" s="11"/>
      <c r="M60" s="32">
        <v>14</v>
      </c>
      <c r="N60" s="33" t="s">
        <v>290</v>
      </c>
      <c r="O60" s="31" t="s">
        <v>247</v>
      </c>
    </row>
    <row r="61" spans="1:15">
      <c r="A61" s="4" t="s">
        <v>95</v>
      </c>
      <c r="B61" s="5" t="s">
        <v>153</v>
      </c>
      <c r="C61" s="8" t="s">
        <v>154</v>
      </c>
      <c r="D61" s="8" t="s">
        <v>80</v>
      </c>
      <c r="E61" s="5" t="s">
        <v>25</v>
      </c>
      <c r="F61" s="5"/>
      <c r="G61" s="5"/>
      <c r="H61" s="5" t="s">
        <v>45</v>
      </c>
      <c r="I61" s="26" t="s">
        <v>71</v>
      </c>
      <c r="J61" s="5" t="s">
        <v>72</v>
      </c>
      <c r="K61" s="28"/>
      <c r="L61" s="11"/>
      <c r="M61" s="32">
        <v>14</v>
      </c>
      <c r="N61" s="33" t="s">
        <v>291</v>
      </c>
      <c r="O61" s="31" t="s">
        <v>247</v>
      </c>
    </row>
    <row r="62" spans="1:15">
      <c r="A62" s="4" t="s">
        <v>95</v>
      </c>
      <c r="B62" s="5" t="s">
        <v>155</v>
      </c>
      <c r="C62" s="8" t="s">
        <v>156</v>
      </c>
      <c r="D62" s="8" t="s">
        <v>80</v>
      </c>
      <c r="E62" s="5" t="s">
        <v>25</v>
      </c>
      <c r="F62" s="5"/>
      <c r="G62" s="5"/>
      <c r="H62" s="5" t="s">
        <v>45</v>
      </c>
      <c r="I62" s="5" t="s">
        <v>41</v>
      </c>
      <c r="J62" s="5" t="s">
        <v>42</v>
      </c>
      <c r="K62" s="28"/>
      <c r="L62" s="11"/>
      <c r="M62" s="32">
        <v>14</v>
      </c>
      <c r="N62" s="33" t="s">
        <v>292</v>
      </c>
      <c r="O62" s="31" t="s">
        <v>247</v>
      </c>
    </row>
    <row r="63" spans="1:15">
      <c r="A63" s="4" t="s">
        <v>97</v>
      </c>
      <c r="B63" s="5" t="s">
        <v>157</v>
      </c>
      <c r="C63" s="8" t="s">
        <v>158</v>
      </c>
      <c r="D63" s="8" t="s">
        <v>80</v>
      </c>
      <c r="E63" s="5" t="s">
        <v>25</v>
      </c>
      <c r="F63" s="5"/>
      <c r="G63" s="5"/>
      <c r="H63" s="5" t="s">
        <v>59</v>
      </c>
      <c r="I63" s="26" t="s">
        <v>59</v>
      </c>
      <c r="J63" s="5" t="s">
        <v>60</v>
      </c>
      <c r="K63" s="27" t="s">
        <v>11</v>
      </c>
      <c r="L63" s="11"/>
      <c r="M63" s="32">
        <v>14</v>
      </c>
      <c r="N63" s="33" t="s">
        <v>293</v>
      </c>
      <c r="O63" s="31" t="s">
        <v>247</v>
      </c>
    </row>
    <row r="64" spans="1:15">
      <c r="A64" s="4" t="s">
        <v>97</v>
      </c>
      <c r="B64" s="5" t="s">
        <v>159</v>
      </c>
      <c r="C64" s="8" t="s">
        <v>160</v>
      </c>
      <c r="D64" s="8" t="s">
        <v>80</v>
      </c>
      <c r="E64" s="5" t="s">
        <v>25</v>
      </c>
      <c r="F64" s="5"/>
      <c r="G64" s="5"/>
      <c r="H64" s="5" t="s">
        <v>45</v>
      </c>
      <c r="I64" s="5" t="s">
        <v>59</v>
      </c>
      <c r="J64" s="5" t="s">
        <v>60</v>
      </c>
      <c r="K64" s="28"/>
      <c r="L64" s="11"/>
      <c r="M64" s="32">
        <v>14</v>
      </c>
      <c r="N64" s="33" t="s">
        <v>294</v>
      </c>
      <c r="O64" s="31" t="s">
        <v>247</v>
      </c>
    </row>
    <row r="65" spans="1:15">
      <c r="A65" s="4" t="s">
        <v>99</v>
      </c>
      <c r="B65" s="5" t="s">
        <v>161</v>
      </c>
      <c r="C65" s="8" t="s">
        <v>162</v>
      </c>
      <c r="D65" s="8" t="s">
        <v>80</v>
      </c>
      <c r="E65" s="5" t="s">
        <v>16</v>
      </c>
      <c r="F65" s="5"/>
      <c r="G65" s="5"/>
      <c r="H65" s="5" t="s">
        <v>33</v>
      </c>
      <c r="I65" s="26" t="s">
        <v>17</v>
      </c>
      <c r="J65" s="5" t="s">
        <v>18</v>
      </c>
      <c r="K65" s="28"/>
      <c r="L65" s="11"/>
      <c r="M65" s="32">
        <v>14</v>
      </c>
      <c r="N65" s="33" t="s">
        <v>295</v>
      </c>
      <c r="O65" s="31" t="s">
        <v>234</v>
      </c>
    </row>
    <row r="66" spans="1:15">
      <c r="A66" s="4" t="s">
        <v>99</v>
      </c>
      <c r="B66" s="5" t="s">
        <v>163</v>
      </c>
      <c r="C66" s="8" t="s">
        <v>164</v>
      </c>
      <c r="D66" s="8" t="s">
        <v>80</v>
      </c>
      <c r="E66" s="5" t="s">
        <v>16</v>
      </c>
      <c r="F66" s="5"/>
      <c r="G66" s="5"/>
      <c r="H66" s="5" t="s">
        <v>33</v>
      </c>
      <c r="I66" s="5" t="s">
        <v>71</v>
      </c>
      <c r="J66" s="5" t="s">
        <v>72</v>
      </c>
      <c r="K66" s="28"/>
      <c r="L66" s="11"/>
      <c r="M66" s="32">
        <v>14</v>
      </c>
      <c r="N66" s="33" t="s">
        <v>296</v>
      </c>
      <c r="O66" s="31" t="s">
        <v>234</v>
      </c>
    </row>
    <row r="67" spans="1:15">
      <c r="A67" s="4" t="s">
        <v>101</v>
      </c>
      <c r="B67" s="5" t="s">
        <v>165</v>
      </c>
      <c r="C67" s="8" t="s">
        <v>166</v>
      </c>
      <c r="D67" s="8" t="s">
        <v>80</v>
      </c>
      <c r="E67" s="5" t="s">
        <v>16</v>
      </c>
      <c r="F67" s="5"/>
      <c r="G67" s="5"/>
      <c r="H67" s="5" t="s">
        <v>59</v>
      </c>
      <c r="I67" s="26" t="s">
        <v>29</v>
      </c>
      <c r="J67" s="5" t="s">
        <v>30</v>
      </c>
      <c r="K67" s="28"/>
      <c r="L67" s="11"/>
      <c r="M67" s="32">
        <v>14</v>
      </c>
      <c r="N67" s="33" t="s">
        <v>297</v>
      </c>
      <c r="O67" s="31" t="s">
        <v>247</v>
      </c>
    </row>
    <row r="68" spans="1:15">
      <c r="A68" s="4" t="s">
        <v>101</v>
      </c>
      <c r="B68" s="5" t="s">
        <v>167</v>
      </c>
      <c r="C68" s="8" t="s">
        <v>168</v>
      </c>
      <c r="D68" s="8" t="s">
        <v>80</v>
      </c>
      <c r="E68" s="5" t="s">
        <v>16</v>
      </c>
      <c r="F68" s="5"/>
      <c r="G68" s="5"/>
      <c r="H68" s="5" t="s">
        <v>59</v>
      </c>
      <c r="I68" s="5" t="s">
        <v>33</v>
      </c>
      <c r="J68" s="5" t="s">
        <v>34</v>
      </c>
      <c r="K68" s="28"/>
      <c r="L68" s="11"/>
      <c r="M68" s="32">
        <v>14</v>
      </c>
      <c r="N68" s="33" t="s">
        <v>298</v>
      </c>
      <c r="O68" s="31" t="s">
        <v>234</v>
      </c>
    </row>
    <row r="69" spans="1:15">
      <c r="A69" s="4" t="s">
        <v>103</v>
      </c>
      <c r="B69" s="5" t="s">
        <v>169</v>
      </c>
      <c r="C69" s="8" t="s">
        <v>170</v>
      </c>
      <c r="D69" s="8" t="s">
        <v>171</v>
      </c>
      <c r="E69" s="5" t="s">
        <v>16</v>
      </c>
      <c r="F69" s="5"/>
      <c r="G69" s="5"/>
      <c r="H69" s="5" t="s">
        <v>45</v>
      </c>
      <c r="I69" s="26" t="s">
        <v>21</v>
      </c>
      <c r="J69" s="5" t="s">
        <v>22</v>
      </c>
      <c r="K69" s="27" t="s">
        <v>11</v>
      </c>
      <c r="L69" s="11"/>
      <c r="M69" s="32">
        <v>14</v>
      </c>
      <c r="N69" s="33" t="s">
        <v>299</v>
      </c>
      <c r="O69" s="31" t="s">
        <v>247</v>
      </c>
    </row>
    <row r="70" spans="1:15">
      <c r="A70" s="4" t="s">
        <v>103</v>
      </c>
      <c r="B70" s="5" t="s">
        <v>172</v>
      </c>
      <c r="C70" s="8" t="s">
        <v>173</v>
      </c>
      <c r="D70" s="8" t="s">
        <v>171</v>
      </c>
      <c r="E70" s="5" t="s">
        <v>16</v>
      </c>
      <c r="F70" s="5"/>
      <c r="G70" s="5"/>
      <c r="H70" s="5" t="s">
        <v>45</v>
      </c>
      <c r="I70" s="5" t="s">
        <v>71</v>
      </c>
      <c r="J70" s="5" t="s">
        <v>72</v>
      </c>
      <c r="K70" s="27"/>
      <c r="L70" s="11"/>
      <c r="M70" s="32">
        <v>14</v>
      </c>
      <c r="N70" s="33" t="s">
        <v>300</v>
      </c>
      <c r="O70" s="31" t="s">
        <v>247</v>
      </c>
    </row>
    <row r="71" spans="1:15" ht="19">
      <c r="A71" s="4" t="s">
        <v>105</v>
      </c>
      <c r="B71" s="5" t="s">
        <v>174</v>
      </c>
      <c r="C71" s="8" t="s">
        <v>175</v>
      </c>
      <c r="D71" s="8" t="s">
        <v>176</v>
      </c>
      <c r="E71" s="5" t="s">
        <v>25</v>
      </c>
      <c r="F71" s="5"/>
      <c r="G71" s="5"/>
      <c r="H71" s="5" t="s">
        <v>29</v>
      </c>
      <c r="I71" s="26" t="s">
        <v>37</v>
      </c>
      <c r="J71" s="5" t="s">
        <v>38</v>
      </c>
      <c r="K71" s="30" t="s">
        <v>11</v>
      </c>
      <c r="L71" s="11"/>
      <c r="M71" s="32">
        <v>14</v>
      </c>
      <c r="N71" s="33" t="s">
        <v>301</v>
      </c>
      <c r="O71" s="31" t="s">
        <v>234</v>
      </c>
    </row>
    <row r="72" spans="1:15">
      <c r="A72" s="4" t="s">
        <v>105</v>
      </c>
      <c r="B72" s="5" t="s">
        <v>177</v>
      </c>
      <c r="C72" s="8" t="s">
        <v>178</v>
      </c>
      <c r="D72" s="8" t="s">
        <v>179</v>
      </c>
      <c r="E72" s="5" t="s">
        <v>25</v>
      </c>
      <c r="F72" s="5"/>
      <c r="G72" s="5"/>
      <c r="H72" s="5" t="s">
        <v>29</v>
      </c>
      <c r="I72" s="5" t="s">
        <v>71</v>
      </c>
      <c r="J72" s="5" t="s">
        <v>72</v>
      </c>
      <c r="K72" s="28"/>
      <c r="L72" s="11"/>
      <c r="M72" s="32">
        <v>8</v>
      </c>
      <c r="N72" s="33" t="s">
        <v>302</v>
      </c>
      <c r="O72" s="31" t="s">
        <v>234</v>
      </c>
    </row>
    <row r="73" spans="1:15">
      <c r="A73" s="4" t="s">
        <v>107</v>
      </c>
      <c r="B73" s="5" t="s">
        <v>180</v>
      </c>
      <c r="C73" s="8" t="s">
        <v>181</v>
      </c>
      <c r="D73" s="8" t="s">
        <v>182</v>
      </c>
      <c r="E73" s="5" t="s">
        <v>16</v>
      </c>
      <c r="F73" s="5"/>
      <c r="G73" s="5"/>
      <c r="H73" s="5" t="s">
        <v>29</v>
      </c>
      <c r="I73" s="26" t="s">
        <v>41</v>
      </c>
      <c r="J73" s="5" t="s">
        <v>42</v>
      </c>
      <c r="K73" s="28"/>
      <c r="L73" s="11"/>
      <c r="M73" s="32">
        <v>8</v>
      </c>
      <c r="N73" s="33" t="s">
        <v>303</v>
      </c>
      <c r="O73" s="31" t="s">
        <v>234</v>
      </c>
    </row>
    <row r="74" spans="1:15">
      <c r="A74" s="4" t="s">
        <v>107</v>
      </c>
      <c r="B74" s="5" t="s">
        <v>183</v>
      </c>
      <c r="C74" s="8" t="s">
        <v>184</v>
      </c>
      <c r="D74" s="8" t="s">
        <v>182</v>
      </c>
      <c r="E74" s="5" t="s">
        <v>16</v>
      </c>
      <c r="F74" s="5"/>
      <c r="G74" s="5"/>
      <c r="H74" s="5" t="s">
        <v>29</v>
      </c>
      <c r="I74" s="5" t="s">
        <v>33</v>
      </c>
      <c r="J74" s="5" t="s">
        <v>34</v>
      </c>
      <c r="K74" s="28"/>
      <c r="L74" s="11"/>
      <c r="M74" s="32">
        <v>14</v>
      </c>
      <c r="N74" s="33" t="s">
        <v>304</v>
      </c>
      <c r="O74" s="31" t="s">
        <v>234</v>
      </c>
    </row>
    <row r="75" spans="1:15">
      <c r="A75" s="4" t="s">
        <v>109</v>
      </c>
      <c r="B75" s="5" t="s">
        <v>185</v>
      </c>
      <c r="C75" s="8" t="s">
        <v>186</v>
      </c>
      <c r="D75" s="8" t="s">
        <v>182</v>
      </c>
      <c r="E75" s="5" t="s">
        <v>16</v>
      </c>
      <c r="F75" s="5"/>
      <c r="G75" s="5"/>
      <c r="H75" s="5" t="s">
        <v>29</v>
      </c>
      <c r="I75" s="26" t="s">
        <v>17</v>
      </c>
      <c r="J75" s="5" t="s">
        <v>18</v>
      </c>
      <c r="K75" s="28"/>
      <c r="L75" s="11"/>
      <c r="M75" s="32">
        <v>14</v>
      </c>
      <c r="N75" s="33" t="s">
        <v>305</v>
      </c>
      <c r="O75" s="31" t="s">
        <v>234</v>
      </c>
    </row>
    <row r="76" spans="1:15">
      <c r="A76" s="4" t="s">
        <v>109</v>
      </c>
      <c r="B76" s="5" t="s">
        <v>187</v>
      </c>
      <c r="C76" s="8" t="s">
        <v>188</v>
      </c>
      <c r="D76" s="8" t="s">
        <v>182</v>
      </c>
      <c r="E76" s="5" t="s">
        <v>16</v>
      </c>
      <c r="F76" s="5"/>
      <c r="G76" s="5"/>
      <c r="H76" s="5" t="s">
        <v>29</v>
      </c>
      <c r="I76" s="5" t="s">
        <v>21</v>
      </c>
      <c r="J76" s="5" t="s">
        <v>22</v>
      </c>
      <c r="K76" s="28"/>
      <c r="L76" s="11"/>
      <c r="M76" s="32">
        <v>14</v>
      </c>
      <c r="N76" s="33" t="s">
        <v>306</v>
      </c>
      <c r="O76" s="31" t="s">
        <v>234</v>
      </c>
    </row>
    <row r="77" spans="1:15">
      <c r="A77" s="4" t="s">
        <v>111</v>
      </c>
      <c r="B77" s="5" t="s">
        <v>189</v>
      </c>
      <c r="C77" s="8" t="s">
        <v>190</v>
      </c>
      <c r="D77" s="8" t="s">
        <v>182</v>
      </c>
      <c r="E77" s="5" t="s">
        <v>25</v>
      </c>
      <c r="F77" s="5"/>
      <c r="G77" s="5"/>
      <c r="H77" s="5" t="s">
        <v>29</v>
      </c>
      <c r="I77" s="26" t="s">
        <v>71</v>
      </c>
      <c r="J77" s="5" t="s">
        <v>72</v>
      </c>
      <c r="K77" s="28"/>
      <c r="L77" s="11"/>
      <c r="M77" s="32">
        <v>14</v>
      </c>
      <c r="N77" s="33" t="s">
        <v>307</v>
      </c>
      <c r="O77" s="31" t="s">
        <v>234</v>
      </c>
    </row>
    <row r="78" spans="1:15">
      <c r="A78" s="4" t="s">
        <v>111</v>
      </c>
      <c r="B78" s="5" t="s">
        <v>191</v>
      </c>
      <c r="C78" s="8" t="s">
        <v>192</v>
      </c>
      <c r="D78" s="8" t="s">
        <v>182</v>
      </c>
      <c r="E78" s="5" t="s">
        <v>25</v>
      </c>
      <c r="F78" s="5"/>
      <c r="G78" s="5"/>
      <c r="H78" s="5" t="s">
        <v>29</v>
      </c>
      <c r="I78" s="5" t="s">
        <v>17</v>
      </c>
      <c r="J78" s="5" t="s">
        <v>18</v>
      </c>
      <c r="K78" s="28"/>
      <c r="L78" s="11"/>
      <c r="M78" s="32">
        <v>14</v>
      </c>
      <c r="N78" s="33" t="s">
        <v>308</v>
      </c>
      <c r="O78" s="31" t="s">
        <v>234</v>
      </c>
    </row>
    <row r="79" spans="1:15">
      <c r="A79" s="4" t="s">
        <v>113</v>
      </c>
      <c r="B79" s="5" t="s">
        <v>193</v>
      </c>
      <c r="C79" s="8" t="s">
        <v>194</v>
      </c>
      <c r="D79" s="8" t="s">
        <v>195</v>
      </c>
      <c r="E79" s="5" t="s">
        <v>16</v>
      </c>
      <c r="F79" s="5"/>
      <c r="G79" s="5"/>
      <c r="H79" s="5" t="s">
        <v>71</v>
      </c>
      <c r="I79" s="26" t="s">
        <v>21</v>
      </c>
      <c r="J79" s="5" t="s">
        <v>22</v>
      </c>
      <c r="K79" s="28"/>
      <c r="L79" s="11"/>
      <c r="M79" s="32">
        <v>8</v>
      </c>
      <c r="N79" s="33" t="s">
        <v>309</v>
      </c>
      <c r="O79" s="31" t="s">
        <v>234</v>
      </c>
    </row>
    <row r="80" spans="1:15">
      <c r="A80" s="4" t="s">
        <v>113</v>
      </c>
      <c r="B80" s="5" t="s">
        <v>196</v>
      </c>
      <c r="C80" s="8" t="s">
        <v>197</v>
      </c>
      <c r="D80" s="8" t="s">
        <v>195</v>
      </c>
      <c r="E80" s="5" t="s">
        <v>25</v>
      </c>
      <c r="F80" s="5"/>
      <c r="G80" s="5"/>
      <c r="H80" s="5" t="s">
        <v>71</v>
      </c>
      <c r="I80" s="5" t="s">
        <v>41</v>
      </c>
      <c r="J80" s="5" t="s">
        <v>42</v>
      </c>
      <c r="K80" s="28"/>
      <c r="L80" s="11"/>
      <c r="M80" s="32">
        <v>8</v>
      </c>
      <c r="N80" s="33" t="s">
        <v>310</v>
      </c>
      <c r="O80" s="31" t="s">
        <v>234</v>
      </c>
    </row>
    <row r="81" spans="1:15">
      <c r="A81" s="4" t="s">
        <v>115</v>
      </c>
      <c r="B81" s="5" t="s">
        <v>198</v>
      </c>
      <c r="C81" s="8" t="s">
        <v>199</v>
      </c>
      <c r="D81" s="8" t="s">
        <v>200</v>
      </c>
      <c r="E81" s="5" t="s">
        <v>16</v>
      </c>
      <c r="F81" s="5"/>
      <c r="G81" s="5"/>
      <c r="H81" s="5" t="s">
        <v>71</v>
      </c>
      <c r="I81" s="26" t="s">
        <v>45</v>
      </c>
      <c r="J81" s="5" t="s">
        <v>46</v>
      </c>
      <c r="K81" s="28"/>
      <c r="L81" s="11"/>
      <c r="M81" s="32">
        <v>8</v>
      </c>
      <c r="N81" s="33" t="s">
        <v>311</v>
      </c>
      <c r="O81" s="31" t="s">
        <v>234</v>
      </c>
    </row>
    <row r="82" spans="1:15">
      <c r="A82" s="4" t="s">
        <v>115</v>
      </c>
      <c r="B82" s="5" t="s">
        <v>201</v>
      </c>
      <c r="C82" s="8" t="s">
        <v>202</v>
      </c>
      <c r="D82" s="8" t="s">
        <v>200</v>
      </c>
      <c r="E82" s="5" t="s">
        <v>16</v>
      </c>
      <c r="F82" s="5"/>
      <c r="G82" s="5"/>
      <c r="H82" s="5" t="s">
        <v>71</v>
      </c>
      <c r="I82" s="5" t="s">
        <v>29</v>
      </c>
      <c r="J82" s="5" t="s">
        <v>30</v>
      </c>
      <c r="K82" s="28"/>
      <c r="L82" s="11"/>
      <c r="M82" s="32">
        <v>8</v>
      </c>
      <c r="N82" s="33" t="s">
        <v>312</v>
      </c>
      <c r="O82" s="31" t="s">
        <v>234</v>
      </c>
    </row>
    <row r="83" spans="1:15">
      <c r="A83" s="4" t="s">
        <v>117</v>
      </c>
      <c r="B83" s="5" t="s">
        <v>203</v>
      </c>
      <c r="C83" s="8" t="s">
        <v>204</v>
      </c>
      <c r="D83" s="8" t="s">
        <v>205</v>
      </c>
      <c r="E83" s="5" t="s">
        <v>25</v>
      </c>
      <c r="F83" s="5"/>
      <c r="G83" s="5"/>
      <c r="H83" s="5" t="s">
        <v>21</v>
      </c>
      <c r="I83" s="26" t="s">
        <v>71</v>
      </c>
      <c r="J83" s="5" t="s">
        <v>72</v>
      </c>
      <c r="K83" s="28"/>
      <c r="L83" s="11"/>
      <c r="M83" s="32">
        <v>8</v>
      </c>
      <c r="N83" s="33" t="s">
        <v>295</v>
      </c>
      <c r="O83" s="31" t="s">
        <v>234</v>
      </c>
    </row>
    <row r="84" spans="1:15">
      <c r="A84" s="4" t="s">
        <v>117</v>
      </c>
      <c r="B84" s="5" t="s">
        <v>206</v>
      </c>
      <c r="C84" s="8" t="s">
        <v>207</v>
      </c>
      <c r="D84" s="8" t="s">
        <v>205</v>
      </c>
      <c r="E84" s="5" t="s">
        <v>16</v>
      </c>
      <c r="F84" s="5"/>
      <c r="G84" s="5"/>
      <c r="H84" s="5" t="s">
        <v>21</v>
      </c>
      <c r="I84" s="5" t="s">
        <v>26</v>
      </c>
      <c r="K84" s="28"/>
      <c r="L84" s="11"/>
      <c r="M84" s="32">
        <v>8</v>
      </c>
      <c r="N84" s="33" t="s">
        <v>286</v>
      </c>
      <c r="O84" s="31" t="s">
        <v>234</v>
      </c>
    </row>
    <row r="85" spans="1:15">
      <c r="A85" s="4" t="s">
        <v>119</v>
      </c>
      <c r="B85" s="5" t="s">
        <v>208</v>
      </c>
      <c r="C85" s="8" t="s">
        <v>209</v>
      </c>
      <c r="D85" s="8" t="s">
        <v>134</v>
      </c>
      <c r="E85" s="5" t="s">
        <v>16</v>
      </c>
      <c r="F85" s="5" t="s">
        <v>210</v>
      </c>
      <c r="G85" s="5" t="s">
        <v>211</v>
      </c>
      <c r="H85" s="5" t="s">
        <v>33</v>
      </c>
      <c r="I85" s="5" t="s">
        <v>26</v>
      </c>
      <c r="K85" s="28"/>
      <c r="L85" s="11"/>
      <c r="M85" s="32">
        <v>14</v>
      </c>
      <c r="N85" s="33" t="s">
        <v>313</v>
      </c>
      <c r="O85" s="31" t="s">
        <v>234</v>
      </c>
    </row>
    <row r="86" spans="1:15">
      <c r="A86" s="4" t="s">
        <v>119</v>
      </c>
      <c r="B86" s="5" t="s">
        <v>212</v>
      </c>
      <c r="C86" s="8" t="s">
        <v>213</v>
      </c>
      <c r="D86" s="8" t="s">
        <v>200</v>
      </c>
      <c r="E86" s="5" t="s">
        <v>16</v>
      </c>
      <c r="F86" s="5"/>
      <c r="G86" s="5"/>
      <c r="H86" s="5" t="s">
        <v>33</v>
      </c>
      <c r="I86" s="5" t="s">
        <v>26</v>
      </c>
      <c r="K86" s="28"/>
      <c r="L86" s="11"/>
      <c r="M86" s="32">
        <v>8</v>
      </c>
      <c r="N86" s="33" t="s">
        <v>314</v>
      </c>
      <c r="O86" s="31" t="s">
        <v>234</v>
      </c>
    </row>
    <row r="87" spans="1:15">
      <c r="A87" s="23" t="s">
        <v>122</v>
      </c>
      <c r="B87" s="5" t="s">
        <v>214</v>
      </c>
      <c r="C87" s="8" t="s">
        <v>215</v>
      </c>
      <c r="D87" s="8" t="s">
        <v>134</v>
      </c>
      <c r="E87" s="5" t="s">
        <v>16</v>
      </c>
      <c r="F87" s="5"/>
      <c r="G87" s="5"/>
      <c r="H87" s="5" t="s">
        <v>33</v>
      </c>
      <c r="I87" s="26" t="s">
        <v>71</v>
      </c>
      <c r="J87" s="5" t="s">
        <v>72</v>
      </c>
      <c r="K87" s="27" t="s">
        <v>11</v>
      </c>
      <c r="L87" s="11"/>
      <c r="M87" s="32">
        <v>14</v>
      </c>
      <c r="N87" s="33" t="s">
        <v>315</v>
      </c>
      <c r="O87" s="31" t="s">
        <v>234</v>
      </c>
    </row>
    <row r="88" spans="1:15">
      <c r="A88" s="23" t="s">
        <v>124</v>
      </c>
      <c r="B88" s="5" t="s">
        <v>216</v>
      </c>
      <c r="C88" s="8" t="s">
        <v>217</v>
      </c>
      <c r="D88" s="8" t="s">
        <v>77</v>
      </c>
      <c r="E88" s="5" t="s">
        <v>16</v>
      </c>
      <c r="F88" s="5"/>
      <c r="G88" s="5"/>
      <c r="H88" s="5" t="s">
        <v>37</v>
      </c>
      <c r="I88" s="5" t="s">
        <v>59</v>
      </c>
      <c r="J88" s="5" t="s">
        <v>60</v>
      </c>
      <c r="K88" s="28"/>
      <c r="L88" s="11"/>
      <c r="M88" s="32">
        <v>14</v>
      </c>
      <c r="N88" s="33" t="s">
        <v>316</v>
      </c>
      <c r="O88" s="31" t="s">
        <v>247</v>
      </c>
    </row>
    <row r="89" spans="1:15">
      <c r="A89" s="24" t="s">
        <v>126</v>
      </c>
      <c r="B89" s="6">
        <v>85</v>
      </c>
      <c r="C89" s="9" t="s">
        <v>218</v>
      </c>
      <c r="D89" s="9" t="s">
        <v>77</v>
      </c>
      <c r="E89" s="6" t="s">
        <v>16</v>
      </c>
      <c r="F89" s="6"/>
      <c r="G89" s="6"/>
      <c r="H89" s="6" t="s">
        <v>59</v>
      </c>
      <c r="I89" s="6" t="s">
        <v>26</v>
      </c>
      <c r="K89" s="29"/>
      <c r="L89" s="12"/>
      <c r="M89" s="32">
        <v>14</v>
      </c>
      <c r="N89" s="33" t="s">
        <v>317</v>
      </c>
      <c r="O89" s="31" t="s">
        <v>247</v>
      </c>
    </row>
  </sheetData>
  <mergeCells count="3">
    <mergeCell ref="A1:O1"/>
    <mergeCell ref="A2:O2"/>
    <mergeCell ref="A3:O3"/>
  </mergeCells>
  <phoneticPr fontId="6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9"/>
  <sheetViews>
    <sheetView showGridLines="0" workbookViewId="0">
      <selection sqref="A1:H1"/>
    </sheetView>
  </sheetViews>
  <sheetFormatPr baseColWidth="10" defaultRowHeight="14"/>
  <cols>
    <col min="1" max="1" width="12" customWidth="1"/>
    <col min="2" max="2" width="13" customWidth="1"/>
    <col min="3" max="3" width="20" customWidth="1"/>
    <col min="4" max="6" width="9" customWidth="1"/>
    <col min="7" max="8" width="18" customWidth="1"/>
  </cols>
  <sheetData>
    <row r="1" spans="1:8" ht="30" customHeight="1">
      <c r="A1" s="45" t="s">
        <v>318</v>
      </c>
      <c r="B1" s="45"/>
      <c r="C1" s="45"/>
      <c r="D1" s="45"/>
      <c r="E1" s="45"/>
      <c r="F1" s="45"/>
      <c r="G1" s="45"/>
      <c r="H1" s="45"/>
    </row>
    <row r="2" spans="1:8" ht="22" customHeight="1">
      <c r="A2" s="48" t="s">
        <v>319</v>
      </c>
      <c r="B2" s="48"/>
      <c r="C2" s="48"/>
      <c r="D2" s="48"/>
      <c r="E2" s="48"/>
      <c r="F2" s="48"/>
      <c r="G2" s="48"/>
      <c r="H2" s="48"/>
    </row>
    <row r="4" spans="1:8" ht="24" customHeight="1">
      <c r="A4" s="34" t="s">
        <v>8</v>
      </c>
      <c r="B4" s="35" t="s">
        <v>3</v>
      </c>
      <c r="C4" s="35" t="s">
        <v>4</v>
      </c>
      <c r="D4" s="34" t="s">
        <v>5</v>
      </c>
      <c r="E4" s="34" t="s">
        <v>1</v>
      </c>
      <c r="F4" s="34" t="s">
        <v>2</v>
      </c>
      <c r="G4" s="34" t="s">
        <v>320</v>
      </c>
      <c r="H4" s="34" t="s">
        <v>321</v>
      </c>
    </row>
    <row r="5" spans="1:8">
      <c r="A5" s="34" t="str">
        <f>總表!H5</f>
        <v>第1桌</v>
      </c>
      <c r="B5" s="35" t="str">
        <f>總表!C5</f>
        <v>許智雄</v>
      </c>
      <c r="C5" s="35" t="str">
        <f>總表!D5</f>
        <v>高天通訊處</v>
      </c>
      <c r="D5" s="34" t="str">
        <f>總表!E5</f>
        <v>男</v>
      </c>
      <c r="E5" s="34" t="str">
        <f>總表!A5</f>
        <v>1</v>
      </c>
      <c r="F5" s="34" t="str">
        <f>總表!B5</f>
        <v>1</v>
      </c>
      <c r="G5" s="34" t="str">
        <f>IF(總表!F5="","",總表!F5)</f>
        <v/>
      </c>
      <c r="H5" s="34" t="str">
        <f>IF(總表!G5="","",總表!G5)</f>
        <v/>
      </c>
    </row>
    <row r="6" spans="1:8">
      <c r="A6" s="34" t="str">
        <f>總表!H6</f>
        <v>第1桌</v>
      </c>
      <c r="B6" s="35" t="str">
        <f>總表!C6</f>
        <v>謝政男</v>
      </c>
      <c r="C6" s="35" t="str">
        <f>總表!D6</f>
        <v>高天通訊處</v>
      </c>
      <c r="D6" s="34" t="str">
        <f>總表!E6</f>
        <v>男</v>
      </c>
      <c r="E6" s="34" t="str">
        <f>總表!A6</f>
        <v>1</v>
      </c>
      <c r="F6" s="34" t="str">
        <f>總表!B6</f>
        <v>2</v>
      </c>
      <c r="G6" s="34" t="str">
        <f>IF(總表!F6="","",總表!F6)</f>
        <v/>
      </c>
      <c r="H6" s="34" t="str">
        <f>IF(總表!G6="","",總表!G6)</f>
        <v/>
      </c>
    </row>
    <row r="7" spans="1:8">
      <c r="A7" s="34" t="str">
        <f>總表!H7</f>
        <v>第1桌</v>
      </c>
      <c r="B7" s="35" t="str">
        <f>總表!C7</f>
        <v>何宜家</v>
      </c>
      <c r="C7" s="35" t="str">
        <f>總表!D7</f>
        <v>高天通訊處</v>
      </c>
      <c r="D7" s="34" t="str">
        <f>總表!E7</f>
        <v>女</v>
      </c>
      <c r="E7" s="34" t="str">
        <f>總表!A7</f>
        <v>2</v>
      </c>
      <c r="F7" s="34" t="str">
        <f>總表!B7</f>
        <v>3</v>
      </c>
      <c r="G7" s="34" t="str">
        <f>IF(總表!F7="","",總表!F7)</f>
        <v/>
      </c>
      <c r="H7" s="34" t="str">
        <f>IF(總表!G7="","",總表!G7)</f>
        <v/>
      </c>
    </row>
    <row r="8" spans="1:8">
      <c r="A8" s="34" t="str">
        <f>總表!H8</f>
        <v>第1桌</v>
      </c>
      <c r="B8" s="35" t="str">
        <f>總表!C8</f>
        <v>蕭宇晴</v>
      </c>
      <c r="C8" s="35" t="str">
        <f>總表!D8</f>
        <v>高天通訊處</v>
      </c>
      <c r="D8" s="34" t="str">
        <f>總表!E8</f>
        <v>女</v>
      </c>
      <c r="E8" s="34" t="str">
        <f>總表!A8</f>
        <v>2</v>
      </c>
      <c r="F8" s="34" t="str">
        <f>總表!B8</f>
        <v>4</v>
      </c>
      <c r="G8" s="34" t="str">
        <f>IF(總表!F8="","",總表!F8)</f>
        <v/>
      </c>
      <c r="H8" s="34" t="str">
        <f>IF(總表!G8="","",總表!G8)</f>
        <v/>
      </c>
    </row>
    <row r="9" spans="1:8">
      <c r="A9" s="34" t="str">
        <f>總表!H9</f>
        <v>第1桌</v>
      </c>
      <c r="B9" s="35" t="str">
        <f>總表!C9</f>
        <v>蕭如菁</v>
      </c>
      <c r="C9" s="35" t="str">
        <f>總表!D9</f>
        <v>高天通訊處</v>
      </c>
      <c r="D9" s="34" t="str">
        <f>總表!E9</f>
        <v>女</v>
      </c>
      <c r="E9" s="34" t="str">
        <f>總表!A9</f>
        <v>3</v>
      </c>
      <c r="F9" s="34" t="str">
        <f>總表!B9</f>
        <v>5</v>
      </c>
      <c r="G9" s="34" t="str">
        <f>IF(總表!F9="","",總表!F9)</f>
        <v/>
      </c>
      <c r="H9" s="34" t="str">
        <f>IF(總表!G9="","",總表!G9)</f>
        <v/>
      </c>
    </row>
    <row r="10" spans="1:8">
      <c r="A10" s="34" t="str">
        <f>總表!H10</f>
        <v>第1桌</v>
      </c>
      <c r="B10" s="35" t="str">
        <f>總表!C10</f>
        <v>何宜庭</v>
      </c>
      <c r="C10" s="35" t="str">
        <f>總表!D10</f>
        <v>高天通訊處</v>
      </c>
      <c r="D10" s="34" t="str">
        <f>總表!E10</f>
        <v>女</v>
      </c>
      <c r="E10" s="34" t="str">
        <f>總表!A10</f>
        <v>3</v>
      </c>
      <c r="F10" s="34" t="str">
        <f>總表!B10</f>
        <v>6</v>
      </c>
      <c r="G10" s="34" t="str">
        <f>IF(總表!F10="","",總表!F10)</f>
        <v/>
      </c>
      <c r="H10" s="34" t="str">
        <f>IF(總表!G10="","",總表!G10)</f>
        <v/>
      </c>
    </row>
    <row r="11" spans="1:8">
      <c r="A11" s="34" t="str">
        <f>總表!H11</f>
        <v>第1桌</v>
      </c>
      <c r="B11" s="35" t="str">
        <f>總表!C11</f>
        <v>戴東志</v>
      </c>
      <c r="C11" s="35" t="str">
        <f>總表!D11</f>
        <v>高天通訊處</v>
      </c>
      <c r="D11" s="34" t="str">
        <f>總表!E11</f>
        <v>男</v>
      </c>
      <c r="E11" s="34" t="str">
        <f>總表!A11</f>
        <v>4</v>
      </c>
      <c r="F11" s="34" t="str">
        <f>總表!B11</f>
        <v>7</v>
      </c>
      <c r="G11" s="34" t="str">
        <f>IF(總表!F11="","",總表!F11)</f>
        <v/>
      </c>
      <c r="H11" s="34" t="str">
        <f>IF(總表!G11="","",總表!G11)</f>
        <v/>
      </c>
    </row>
    <row r="12" spans="1:8">
      <c r="A12" s="34" t="str">
        <f>總表!H12</f>
        <v>第1桌</v>
      </c>
      <c r="B12" s="35" t="str">
        <f>總表!C12</f>
        <v>詹政杰</v>
      </c>
      <c r="C12" s="35" t="str">
        <f>總表!D12</f>
        <v>高天通訊處</v>
      </c>
      <c r="D12" s="34" t="str">
        <f>總表!E12</f>
        <v>男</v>
      </c>
      <c r="E12" s="34" t="str">
        <f>總表!A12</f>
        <v>4</v>
      </c>
      <c r="F12" s="34" t="str">
        <f>總表!B12</f>
        <v>8</v>
      </c>
      <c r="G12" s="34" t="str">
        <f>IF(總表!F12="","",總表!F12)</f>
        <v/>
      </c>
      <c r="H12" s="34" t="str">
        <f>IF(總表!G12="","",總表!G12)</f>
        <v/>
      </c>
    </row>
    <row r="13" spans="1:8">
      <c r="A13" s="34" t="str">
        <f>總表!H13</f>
        <v>第1桌</v>
      </c>
      <c r="B13" s="35" t="str">
        <f>總表!C13</f>
        <v>吳睿綝</v>
      </c>
      <c r="C13" s="35" t="str">
        <f>總表!D13</f>
        <v>高天通訊處</v>
      </c>
      <c r="D13" s="34" t="str">
        <f>總表!E13</f>
        <v>女</v>
      </c>
      <c r="E13" s="34" t="str">
        <f>總表!A13</f>
        <v>5</v>
      </c>
      <c r="F13" s="34" t="str">
        <f>總表!B13</f>
        <v>9</v>
      </c>
      <c r="G13" s="34" t="str">
        <f>IF(總表!F13="","",總表!F13)</f>
        <v/>
      </c>
      <c r="H13" s="34" t="str">
        <f>IF(總表!G13="","",總表!G13)</f>
        <v/>
      </c>
    </row>
    <row r="14" spans="1:8">
      <c r="A14" s="34" t="str">
        <f>總表!H14</f>
        <v>第1桌</v>
      </c>
      <c r="B14" s="35" t="str">
        <f>總表!C14</f>
        <v>陳懷柔</v>
      </c>
      <c r="C14" s="35" t="str">
        <f>總表!D14</f>
        <v>高天通訊處</v>
      </c>
      <c r="D14" s="34" t="str">
        <f>總表!E14</f>
        <v>女</v>
      </c>
      <c r="E14" s="34" t="str">
        <f>總表!A14</f>
        <v>5</v>
      </c>
      <c r="F14" s="34" t="str">
        <f>總表!B14</f>
        <v>10</v>
      </c>
      <c r="G14" s="34" t="str">
        <f>IF(總表!F14="","",總表!F14)</f>
        <v/>
      </c>
      <c r="H14" s="34" t="str">
        <f>IF(總表!G14="","",總表!G14)</f>
        <v/>
      </c>
    </row>
    <row r="15" spans="1:8">
      <c r="A15" s="34" t="str">
        <f>總表!H15</f>
        <v>第2桌</v>
      </c>
      <c r="B15" s="35" t="str">
        <f>總表!C15</f>
        <v>黃柏瑞</v>
      </c>
      <c r="C15" s="35" t="str">
        <f>總表!D15</f>
        <v>高貴通訊處</v>
      </c>
      <c r="D15" s="34" t="str">
        <f>總表!E15</f>
        <v>男</v>
      </c>
      <c r="E15" s="34" t="str">
        <f>總表!A15</f>
        <v>6</v>
      </c>
      <c r="F15" s="34" t="str">
        <f>總表!B15</f>
        <v>11</v>
      </c>
      <c r="G15" s="34" t="str">
        <f>IF(總表!F15="","",總表!F15)</f>
        <v/>
      </c>
      <c r="H15" s="34" t="str">
        <f>IF(總表!G15="","",總表!G15)</f>
        <v/>
      </c>
    </row>
    <row r="16" spans="1:8">
      <c r="A16" s="34" t="str">
        <f>總表!H16</f>
        <v>第2桌</v>
      </c>
      <c r="B16" s="35" t="str">
        <f>總表!C16</f>
        <v>陳其呈</v>
      </c>
      <c r="C16" s="35" t="str">
        <f>總表!D16</f>
        <v>高貴通訊處</v>
      </c>
      <c r="D16" s="34" t="str">
        <f>總表!E16</f>
        <v>男</v>
      </c>
      <c r="E16" s="34" t="str">
        <f>總表!A16</f>
        <v>6</v>
      </c>
      <c r="F16" s="34" t="str">
        <f>總表!B16</f>
        <v>12</v>
      </c>
      <c r="G16" s="34" t="str">
        <f>IF(總表!F16="","",總表!F16)</f>
        <v/>
      </c>
      <c r="H16" s="34" t="str">
        <f>IF(總表!G16="","",總表!G16)</f>
        <v/>
      </c>
    </row>
    <row r="17" spans="1:8">
      <c r="A17" s="34" t="str">
        <f>總表!H71</f>
        <v>第2桌</v>
      </c>
      <c r="B17" s="35" t="str">
        <f>總表!C71</f>
        <v>張祐珮</v>
      </c>
      <c r="C17" s="35" t="str">
        <f>總表!D71</f>
        <v>富后通訊處</v>
      </c>
      <c r="D17" s="34" t="str">
        <f>總表!E71</f>
        <v>女</v>
      </c>
      <c r="E17" s="34" t="str">
        <f>總表!A71</f>
        <v>34</v>
      </c>
      <c r="F17" s="34" t="str">
        <f>總表!B71</f>
        <v>67</v>
      </c>
      <c r="G17" s="34" t="str">
        <f>IF(總表!F71="","",總表!F71)</f>
        <v/>
      </c>
      <c r="H17" s="34" t="str">
        <f>IF(總表!G71="","",總表!G71)</f>
        <v/>
      </c>
    </row>
    <row r="18" spans="1:8">
      <c r="A18" s="34" t="str">
        <f>總表!H72</f>
        <v>第2桌</v>
      </c>
      <c r="B18" s="35" t="str">
        <f>總表!C72</f>
        <v>施昕余</v>
      </c>
      <c r="C18" s="35" t="str">
        <f>總表!D72</f>
        <v>中銘通訊處</v>
      </c>
      <c r="D18" s="34" t="str">
        <f>總表!E72</f>
        <v>女</v>
      </c>
      <c r="E18" s="34" t="str">
        <f>總表!A72</f>
        <v>34</v>
      </c>
      <c r="F18" s="34" t="str">
        <f>總表!B72</f>
        <v>68</v>
      </c>
      <c r="G18" s="34" t="str">
        <f>IF(總表!F72="","",總表!F72)</f>
        <v/>
      </c>
      <c r="H18" s="34" t="str">
        <f>IF(總表!G72="","",總表!G72)</f>
        <v/>
      </c>
    </row>
    <row r="19" spans="1:8">
      <c r="A19" s="34" t="str">
        <f>總表!H73</f>
        <v>第2桌</v>
      </c>
      <c r="B19" s="35" t="str">
        <f>總表!C73</f>
        <v>吳皓誠</v>
      </c>
      <c r="C19" s="35" t="str">
        <f>總表!D73</f>
        <v>富亨通訊處</v>
      </c>
      <c r="D19" s="34" t="str">
        <f>總表!E73</f>
        <v>男</v>
      </c>
      <c r="E19" s="34" t="str">
        <f>總表!A73</f>
        <v>35</v>
      </c>
      <c r="F19" s="34" t="str">
        <f>總表!B73</f>
        <v>69</v>
      </c>
      <c r="G19" s="34" t="str">
        <f>IF(總表!F73="","",總表!F73)</f>
        <v/>
      </c>
      <c r="H19" s="34" t="str">
        <f>IF(總表!G73="","",總表!G73)</f>
        <v/>
      </c>
    </row>
    <row r="20" spans="1:8">
      <c r="A20" s="34" t="str">
        <f>總表!H74</f>
        <v>第2桌</v>
      </c>
      <c r="B20" s="35" t="str">
        <f>總表!C74</f>
        <v>張家瑋</v>
      </c>
      <c r="C20" s="35" t="str">
        <f>總表!D74</f>
        <v>富亨通訊處</v>
      </c>
      <c r="D20" s="34" t="str">
        <f>總表!E74</f>
        <v>男</v>
      </c>
      <c r="E20" s="34" t="str">
        <f>總表!A74</f>
        <v>35</v>
      </c>
      <c r="F20" s="34" t="str">
        <f>總表!B74</f>
        <v>70</v>
      </c>
      <c r="G20" s="34" t="str">
        <f>IF(總表!F74="","",總表!F74)</f>
        <v/>
      </c>
      <c r="H20" s="34" t="str">
        <f>IF(總表!G74="","",總表!G74)</f>
        <v/>
      </c>
    </row>
    <row r="21" spans="1:8">
      <c r="A21" s="34" t="str">
        <f>總表!H75</f>
        <v>第2桌</v>
      </c>
      <c r="B21" s="35" t="str">
        <f>總表!C75</f>
        <v>馬英傑</v>
      </c>
      <c r="C21" s="35" t="str">
        <f>總表!D75</f>
        <v>富亨通訊處</v>
      </c>
      <c r="D21" s="34" t="str">
        <f>總表!E75</f>
        <v>男</v>
      </c>
      <c r="E21" s="34" t="str">
        <f>總表!A75</f>
        <v>36</v>
      </c>
      <c r="F21" s="34" t="str">
        <f>總表!B75</f>
        <v>71</v>
      </c>
      <c r="G21" s="34" t="str">
        <f>IF(總表!F75="","",總表!F75)</f>
        <v/>
      </c>
      <c r="H21" s="34" t="str">
        <f>IF(總表!G75="","",總表!G75)</f>
        <v/>
      </c>
    </row>
    <row r="22" spans="1:8">
      <c r="A22" s="34" t="str">
        <f>總表!H76</f>
        <v>第2桌</v>
      </c>
      <c r="B22" s="35" t="str">
        <f>總表!C76</f>
        <v>林宏威</v>
      </c>
      <c r="C22" s="35" t="str">
        <f>總表!D76</f>
        <v>富亨通訊處</v>
      </c>
      <c r="D22" s="34" t="str">
        <f>總表!E76</f>
        <v>男</v>
      </c>
      <c r="E22" s="34" t="str">
        <f>總表!A76</f>
        <v>36</v>
      </c>
      <c r="F22" s="34" t="str">
        <f>總表!B76</f>
        <v>72</v>
      </c>
      <c r="G22" s="34" t="str">
        <f>IF(總表!F76="","",總表!F76)</f>
        <v/>
      </c>
      <c r="H22" s="34" t="str">
        <f>IF(總表!G76="","",總表!G76)</f>
        <v/>
      </c>
    </row>
    <row r="23" spans="1:8">
      <c r="A23" s="34" t="str">
        <f>總表!H77</f>
        <v>第2桌</v>
      </c>
      <c r="B23" s="35" t="str">
        <f>總表!C77</f>
        <v>陳怡萍</v>
      </c>
      <c r="C23" s="35" t="str">
        <f>總表!D77</f>
        <v>富亨通訊處</v>
      </c>
      <c r="D23" s="34" t="str">
        <f>總表!E77</f>
        <v>女</v>
      </c>
      <c r="E23" s="34" t="str">
        <f>總表!A77</f>
        <v>37</v>
      </c>
      <c r="F23" s="34" t="str">
        <f>總表!B77</f>
        <v>73</v>
      </c>
      <c r="G23" s="34" t="str">
        <f>IF(總表!F77="","",總表!F77)</f>
        <v/>
      </c>
      <c r="H23" s="34" t="str">
        <f>IF(總表!G77="","",總表!G77)</f>
        <v/>
      </c>
    </row>
    <row r="24" spans="1:8">
      <c r="A24" s="34" t="str">
        <f>總表!H78</f>
        <v>第2桌</v>
      </c>
      <c r="B24" s="35" t="str">
        <f>總表!C78</f>
        <v>廖家慧</v>
      </c>
      <c r="C24" s="35" t="str">
        <f>總表!D78</f>
        <v>富亨通訊處</v>
      </c>
      <c r="D24" s="34" t="str">
        <f>總表!E78</f>
        <v>女</v>
      </c>
      <c r="E24" s="34" t="str">
        <f>總表!A78</f>
        <v>37</v>
      </c>
      <c r="F24" s="34" t="str">
        <f>總表!B78</f>
        <v>74</v>
      </c>
      <c r="G24" s="34" t="str">
        <f>IF(總表!F78="","",總表!F78)</f>
        <v/>
      </c>
      <c r="H24" s="34" t="str">
        <f>IF(總表!G78="","",總表!G78)</f>
        <v/>
      </c>
    </row>
    <row r="25" spans="1:8">
      <c r="A25" s="34" t="str">
        <f>總表!H45</f>
        <v>第3桌</v>
      </c>
      <c r="B25" s="35" t="str">
        <f>總表!C45</f>
        <v>簡宏鈞</v>
      </c>
      <c r="C25" s="35" t="str">
        <f>總表!D45</f>
        <v>富能通訊處</v>
      </c>
      <c r="D25" s="34" t="str">
        <f>總表!E45</f>
        <v>男</v>
      </c>
      <c r="E25" s="34" t="str">
        <f>總表!A45</f>
        <v>21</v>
      </c>
      <c r="F25" s="34" t="str">
        <f>總表!B45</f>
        <v>41</v>
      </c>
      <c r="G25" s="34" t="str">
        <f>IF(總表!F45="","",總表!F45)</f>
        <v/>
      </c>
      <c r="H25" s="34" t="str">
        <f>IF(總表!G45="","",總表!G45)</f>
        <v/>
      </c>
    </row>
    <row r="26" spans="1:8">
      <c r="A26" s="34" t="str">
        <f>總表!H51</f>
        <v>第3桌</v>
      </c>
      <c r="B26" s="35" t="str">
        <f>總表!C51</f>
        <v>傅佳旻</v>
      </c>
      <c r="C26" s="35" t="str">
        <f>總表!D51</f>
        <v>富占通訊處</v>
      </c>
      <c r="D26" s="34" t="str">
        <f>總表!E51</f>
        <v>女</v>
      </c>
      <c r="E26" s="34" t="str">
        <f>總表!A51</f>
        <v>24</v>
      </c>
      <c r="F26" s="34" t="str">
        <f>總表!B51</f>
        <v>47</v>
      </c>
      <c r="G26" s="34" t="str">
        <f>IF(總表!F51="","",總表!F51)</f>
        <v/>
      </c>
      <c r="H26" s="34" t="str">
        <f>IF(總表!G51="","",總表!G51)</f>
        <v/>
      </c>
    </row>
    <row r="27" spans="1:8">
      <c r="A27" s="34" t="str">
        <f>總表!H52</f>
        <v>第3桌</v>
      </c>
      <c r="B27" s="35" t="str">
        <f>總表!C52</f>
        <v>徐維鈴</v>
      </c>
      <c r="C27" s="35" t="str">
        <f>總表!D52</f>
        <v>富占通訊處</v>
      </c>
      <c r="D27" s="34" t="str">
        <f>總表!E52</f>
        <v>女</v>
      </c>
      <c r="E27" s="34" t="str">
        <f>總表!A52</f>
        <v>24</v>
      </c>
      <c r="F27" s="34" t="str">
        <f>總表!B52</f>
        <v>48</v>
      </c>
      <c r="G27" s="34" t="str">
        <f>IF(總表!F52="","",總表!F52)</f>
        <v/>
      </c>
      <c r="H27" s="34" t="str">
        <f>IF(總表!G52="","",總表!G52)</f>
        <v/>
      </c>
    </row>
    <row r="28" spans="1:8">
      <c r="A28" s="34" t="str">
        <f>總表!H53</f>
        <v>第3桌</v>
      </c>
      <c r="B28" s="35" t="str">
        <f>總表!C53</f>
        <v>鍾怡婷</v>
      </c>
      <c r="C28" s="35" t="str">
        <f>總表!D53</f>
        <v>富占通訊處</v>
      </c>
      <c r="D28" s="34" t="str">
        <f>總表!E53</f>
        <v>女</v>
      </c>
      <c r="E28" s="34" t="str">
        <f>總表!A53</f>
        <v>25</v>
      </c>
      <c r="F28" s="34" t="str">
        <f>總表!B53</f>
        <v>49</v>
      </c>
      <c r="G28" s="34" t="str">
        <f>IF(總表!F53="","",總表!F53)</f>
        <v/>
      </c>
      <c r="H28" s="34" t="str">
        <f>IF(總表!G53="","",總表!G53)</f>
        <v/>
      </c>
    </row>
    <row r="29" spans="1:8">
      <c r="A29" s="34" t="str">
        <f>總表!H54</f>
        <v>第3桌</v>
      </c>
      <c r="B29" s="35" t="str">
        <f>總表!C54</f>
        <v>林宜潔</v>
      </c>
      <c r="C29" s="35" t="str">
        <f>總表!D54</f>
        <v>富占通訊處</v>
      </c>
      <c r="D29" s="34" t="str">
        <f>總表!E54</f>
        <v>女</v>
      </c>
      <c r="E29" s="34" t="str">
        <f>總表!A54</f>
        <v>25</v>
      </c>
      <c r="F29" s="34" t="str">
        <f>總表!B54</f>
        <v>50</v>
      </c>
      <c r="G29" s="34" t="str">
        <f>IF(總表!F54="","",總表!F54)</f>
        <v/>
      </c>
      <c r="H29" s="34" t="str">
        <f>IF(總表!G54="","",總表!G54)</f>
        <v/>
      </c>
    </row>
    <row r="30" spans="1:8">
      <c r="A30" s="34" t="str">
        <f>總表!H65</f>
        <v>第3桌</v>
      </c>
      <c r="B30" s="35" t="str">
        <f>總表!C65</f>
        <v>蔡承遠</v>
      </c>
      <c r="C30" s="35" t="str">
        <f>總表!D65</f>
        <v>富則通訊處</v>
      </c>
      <c r="D30" s="34" t="str">
        <f>總表!E65</f>
        <v>男</v>
      </c>
      <c r="E30" s="34" t="str">
        <f>總表!A65</f>
        <v>31</v>
      </c>
      <c r="F30" s="34" t="str">
        <f>總表!B65</f>
        <v>61</v>
      </c>
      <c r="G30" s="34" t="str">
        <f>IF(總表!F65="","",總表!F65)</f>
        <v/>
      </c>
      <c r="H30" s="34" t="str">
        <f>IF(總表!G65="","",總表!G65)</f>
        <v/>
      </c>
    </row>
    <row r="31" spans="1:8">
      <c r="A31" s="34" t="str">
        <f>總表!H66</f>
        <v>第3桌</v>
      </c>
      <c r="B31" s="35" t="str">
        <f>總表!C66</f>
        <v>張國興</v>
      </c>
      <c r="C31" s="35" t="str">
        <f>總表!D66</f>
        <v>富則通訊處</v>
      </c>
      <c r="D31" s="34" t="str">
        <f>總表!E66</f>
        <v>男</v>
      </c>
      <c r="E31" s="34" t="str">
        <f>總表!A66</f>
        <v>31</v>
      </c>
      <c r="F31" s="34" t="str">
        <f>總表!B66</f>
        <v>62</v>
      </c>
      <c r="G31" s="34" t="str">
        <f>IF(總表!F66="","",總表!F66)</f>
        <v/>
      </c>
      <c r="H31" s="34" t="str">
        <f>IF(總表!G66="","",總表!G66)</f>
        <v/>
      </c>
    </row>
    <row r="32" spans="1:8">
      <c r="A32" s="34" t="str">
        <f>總表!H85</f>
        <v>第3桌</v>
      </c>
      <c r="B32" s="35" t="str">
        <f>總表!C85</f>
        <v>鄭占禮</v>
      </c>
      <c r="C32" s="35" t="str">
        <f>總表!D85</f>
        <v>富占通訊處</v>
      </c>
      <c r="D32" s="34" t="str">
        <f>總表!E85</f>
        <v>男</v>
      </c>
      <c r="E32" s="34" t="str">
        <f>總表!A85</f>
        <v>41</v>
      </c>
      <c r="F32" s="34" t="str">
        <f>總表!B85</f>
        <v>81</v>
      </c>
      <c r="G32" s="34" t="str">
        <f>IF(總表!F85="","",總表!F85)</f>
        <v>1111</v>
      </c>
      <c r="H32" s="34" t="str">
        <f>IF(總表!G85="","",總表!G85)</f>
        <v>2222</v>
      </c>
    </row>
    <row r="33" spans="1:8">
      <c r="A33" s="34" t="str">
        <f>總表!H86</f>
        <v>第3桌</v>
      </c>
      <c r="B33" s="35" t="str">
        <f>總表!C86</f>
        <v>孫振文</v>
      </c>
      <c r="C33" s="35" t="str">
        <f>總表!D86</f>
        <v>富北通訊處</v>
      </c>
      <c r="D33" s="34" t="str">
        <f>總表!E86</f>
        <v>男</v>
      </c>
      <c r="E33" s="34" t="str">
        <f>總表!A86</f>
        <v>41</v>
      </c>
      <c r="F33" s="34" t="str">
        <f>總表!B86</f>
        <v>82</v>
      </c>
      <c r="G33" s="34" t="str">
        <f>IF(總表!F86="","",總表!F86)</f>
        <v/>
      </c>
      <c r="H33" s="34" t="str">
        <f>IF(總表!G86="","",總表!G86)</f>
        <v/>
      </c>
    </row>
    <row r="34" spans="1:8">
      <c r="A34" s="34" t="str">
        <f>總表!H87</f>
        <v>第3桌</v>
      </c>
      <c r="B34" s="35" t="str">
        <f>總表!C87</f>
        <v>范毓斌</v>
      </c>
      <c r="C34" s="35" t="str">
        <f>總表!D87</f>
        <v>富占通訊處</v>
      </c>
      <c r="D34" s="34" t="str">
        <f>總表!E87</f>
        <v>男</v>
      </c>
      <c r="E34" s="34" t="str">
        <f>總表!A87</f>
        <v>42</v>
      </c>
      <c r="F34" s="34" t="str">
        <f>總表!B87</f>
        <v>83</v>
      </c>
      <c r="G34" s="34" t="str">
        <f>IF(總表!F87="","",總表!F87)</f>
        <v/>
      </c>
      <c r="H34" s="34" t="str">
        <f>IF(總表!G87="","",總表!G87)</f>
        <v/>
      </c>
    </row>
    <row r="35" spans="1:8">
      <c r="A35" s="34" t="str">
        <f>總表!H47</f>
        <v>第4桌</v>
      </c>
      <c r="B35" s="35" t="str">
        <f>總表!C47</f>
        <v>管卓鈞</v>
      </c>
      <c r="C35" s="35" t="str">
        <f>總表!D47</f>
        <v>富能通訊處</v>
      </c>
      <c r="D35" s="34" t="str">
        <f>總表!E47</f>
        <v>女</v>
      </c>
      <c r="E35" s="34" t="str">
        <f>總表!A47</f>
        <v>22</v>
      </c>
      <c r="F35" s="34" t="str">
        <f>總表!B47</f>
        <v>43</v>
      </c>
      <c r="G35" s="34" t="str">
        <f>IF(總表!F47="","",總表!F47)</f>
        <v/>
      </c>
      <c r="H35" s="34" t="str">
        <f>IF(總表!G47="","",總表!G47)</f>
        <v/>
      </c>
    </row>
    <row r="36" spans="1:8">
      <c r="A36" s="34" t="str">
        <f>總表!H49</f>
        <v>第4桌</v>
      </c>
      <c r="B36" s="35" t="str">
        <f>總表!C49</f>
        <v>簡姵萱</v>
      </c>
      <c r="C36" s="35" t="str">
        <f>總表!D49</f>
        <v>富能通訊處</v>
      </c>
      <c r="D36" s="34" t="str">
        <f>總表!E49</f>
        <v>女</v>
      </c>
      <c r="E36" s="34" t="str">
        <f>總表!A49</f>
        <v>23</v>
      </c>
      <c r="F36" s="34" t="str">
        <f>總表!B49</f>
        <v>45</v>
      </c>
      <c r="G36" s="34" t="str">
        <f>IF(總表!F49="","",總表!F49)</f>
        <v/>
      </c>
      <c r="H36" s="34" t="str">
        <f>IF(總表!G49="","",總表!G49)</f>
        <v/>
      </c>
    </row>
    <row r="37" spans="1:8">
      <c r="A37" s="34" t="str">
        <f>總表!H50</f>
        <v>第4桌</v>
      </c>
      <c r="B37" s="35" t="str">
        <f>總表!C50</f>
        <v>潘韻竹</v>
      </c>
      <c r="C37" s="35" t="str">
        <f>總表!D50</f>
        <v>富則通訊處</v>
      </c>
      <c r="D37" s="34" t="str">
        <f>總表!E50</f>
        <v>女</v>
      </c>
      <c r="E37" s="34" t="str">
        <f>總表!A50</f>
        <v>23</v>
      </c>
      <c r="F37" s="34" t="str">
        <f>總表!B50</f>
        <v>46</v>
      </c>
      <c r="G37" s="34" t="str">
        <f>IF(總表!F50="","",總表!F50)</f>
        <v/>
      </c>
      <c r="H37" s="34" t="str">
        <f>IF(總表!G50="","",總表!G50)</f>
        <v/>
      </c>
    </row>
    <row r="38" spans="1:8">
      <c r="A38" s="34" t="str">
        <f>總表!H55</f>
        <v>第4桌</v>
      </c>
      <c r="B38" s="35" t="str">
        <f>總表!C55</f>
        <v>顏明儀</v>
      </c>
      <c r="C38" s="35" t="str">
        <f>總表!D55</f>
        <v>富則通訊處</v>
      </c>
      <c r="D38" s="34" t="str">
        <f>總表!E55</f>
        <v>女</v>
      </c>
      <c r="E38" s="34" t="str">
        <f>總表!A55</f>
        <v>26</v>
      </c>
      <c r="F38" s="34" t="str">
        <f>總表!B55</f>
        <v>51</v>
      </c>
      <c r="G38" s="34" t="str">
        <f>IF(總表!F55="","",總表!F55)</f>
        <v/>
      </c>
      <c r="H38" s="34" t="str">
        <f>IF(總表!G55="","",總表!G55)</f>
        <v/>
      </c>
    </row>
    <row r="39" spans="1:8">
      <c r="A39" s="34" t="str">
        <f>總表!H56</f>
        <v>第4桌</v>
      </c>
      <c r="B39" s="35" t="str">
        <f>總表!C56</f>
        <v>王思嵐</v>
      </c>
      <c r="C39" s="35" t="str">
        <f>總表!D56</f>
        <v>富則通訊處</v>
      </c>
      <c r="D39" s="34" t="str">
        <f>總表!E56</f>
        <v>女</v>
      </c>
      <c r="E39" s="34" t="str">
        <f>總表!A56</f>
        <v>26</v>
      </c>
      <c r="F39" s="34" t="str">
        <f>總表!B56</f>
        <v>52</v>
      </c>
      <c r="G39" s="34" t="str">
        <f>IF(總表!F56="","",總表!F56)</f>
        <v/>
      </c>
      <c r="H39" s="34" t="str">
        <f>IF(總表!G56="","",總表!G56)</f>
        <v/>
      </c>
    </row>
    <row r="40" spans="1:8">
      <c r="A40" s="34" t="str">
        <f>總表!H79</f>
        <v>第4桌</v>
      </c>
      <c r="B40" s="35" t="str">
        <f>總表!C79</f>
        <v>陳龍生</v>
      </c>
      <c r="C40" s="35" t="str">
        <f>總表!D79</f>
        <v>富鑽通訊處</v>
      </c>
      <c r="D40" s="34" t="str">
        <f>總表!E79</f>
        <v>男</v>
      </c>
      <c r="E40" s="34" t="str">
        <f>總表!A79</f>
        <v>38</v>
      </c>
      <c r="F40" s="34" t="str">
        <f>總表!B79</f>
        <v>75</v>
      </c>
      <c r="G40" s="34" t="str">
        <f>IF(總表!F79="","",總表!F79)</f>
        <v/>
      </c>
      <c r="H40" s="34" t="str">
        <f>IF(總表!G79="","",總表!G79)</f>
        <v/>
      </c>
    </row>
    <row r="41" spans="1:8">
      <c r="A41" s="34" t="str">
        <f>總表!H80</f>
        <v>第4桌</v>
      </c>
      <c r="B41" s="35" t="str">
        <f>總表!C80</f>
        <v>葉金玲</v>
      </c>
      <c r="C41" s="35" t="str">
        <f>總表!D80</f>
        <v>富鑽通訊處</v>
      </c>
      <c r="D41" s="34" t="str">
        <f>總表!E80</f>
        <v>女</v>
      </c>
      <c r="E41" s="34" t="str">
        <f>總表!A80</f>
        <v>38</v>
      </c>
      <c r="F41" s="34" t="str">
        <f>總表!B80</f>
        <v>76</v>
      </c>
      <c r="G41" s="34" t="str">
        <f>IF(總表!F80="","",總表!F80)</f>
        <v/>
      </c>
      <c r="H41" s="34" t="str">
        <f>IF(總表!G80="","",總表!G80)</f>
        <v/>
      </c>
    </row>
    <row r="42" spans="1:8">
      <c r="A42" s="34" t="str">
        <f>總表!H81</f>
        <v>第4桌</v>
      </c>
      <c r="B42" s="35" t="str">
        <f>總表!C81</f>
        <v>吳士侃</v>
      </c>
      <c r="C42" s="35" t="str">
        <f>總表!D81</f>
        <v>富北通訊處</v>
      </c>
      <c r="D42" s="34" t="str">
        <f>總表!E81</f>
        <v>男</v>
      </c>
      <c r="E42" s="34" t="str">
        <f>總表!A81</f>
        <v>39</v>
      </c>
      <c r="F42" s="34" t="str">
        <f>總表!B81</f>
        <v>77</v>
      </c>
      <c r="G42" s="34" t="str">
        <f>IF(總表!F81="","",總表!F81)</f>
        <v/>
      </c>
      <c r="H42" s="34" t="str">
        <f>IF(總表!G81="","",總表!G81)</f>
        <v/>
      </c>
    </row>
    <row r="43" spans="1:8">
      <c r="A43" s="34" t="str">
        <f>總表!H82</f>
        <v>第4桌</v>
      </c>
      <c r="B43" s="35" t="str">
        <f>總表!C82</f>
        <v>林瑋</v>
      </c>
      <c r="C43" s="35" t="str">
        <f>總表!D82</f>
        <v>富北通訊處</v>
      </c>
      <c r="D43" s="34" t="str">
        <f>總表!E82</f>
        <v>男</v>
      </c>
      <c r="E43" s="34" t="str">
        <f>總表!A82</f>
        <v>39</v>
      </c>
      <c r="F43" s="34" t="str">
        <f>總表!B82</f>
        <v>78</v>
      </c>
      <c r="G43" s="34" t="str">
        <f>IF(總表!F82="","",總表!F82)</f>
        <v/>
      </c>
      <c r="H43" s="34" t="str">
        <f>IF(總表!G82="","",總表!G82)</f>
        <v/>
      </c>
    </row>
    <row r="44" spans="1:8">
      <c r="A44" s="34" t="str">
        <f>總表!H25</f>
        <v>第5桌</v>
      </c>
      <c r="B44" s="35" t="str">
        <f>總表!C25</f>
        <v>賴含怡</v>
      </c>
      <c r="C44" s="35" t="str">
        <f>總表!D25</f>
        <v>富則通訊處</v>
      </c>
      <c r="D44" s="34" t="str">
        <f>總表!E25</f>
        <v>女</v>
      </c>
      <c r="E44" s="34" t="str">
        <f>總表!A25</f>
        <v>11</v>
      </c>
      <c r="F44" s="34" t="str">
        <f>總表!B25</f>
        <v>21</v>
      </c>
      <c r="G44" s="34" t="str">
        <f>IF(總表!F25="","",總表!F25)</f>
        <v/>
      </c>
      <c r="H44" s="34" t="str">
        <f>IF(總表!G25="","",總表!G25)</f>
        <v/>
      </c>
    </row>
    <row r="45" spans="1:8">
      <c r="A45" s="34" t="str">
        <f>總表!H39</f>
        <v>第5桌</v>
      </c>
      <c r="B45" s="35" t="str">
        <f>總表!C39</f>
        <v>鄭丞哲</v>
      </c>
      <c r="C45" s="35" t="str">
        <f>總表!D39</f>
        <v>富吳通訊處</v>
      </c>
      <c r="D45" s="34" t="str">
        <f>總表!E39</f>
        <v>男</v>
      </c>
      <c r="E45" s="34" t="str">
        <f>總表!A39</f>
        <v>18</v>
      </c>
      <c r="F45" s="34" t="str">
        <f>總表!B39</f>
        <v>35</v>
      </c>
      <c r="G45" s="34" t="str">
        <f>IF(總表!F39="","",總表!F39)</f>
        <v/>
      </c>
      <c r="H45" s="34" t="str">
        <f>IF(總表!G39="","",總表!G39)</f>
        <v/>
      </c>
    </row>
    <row r="46" spans="1:8">
      <c r="A46" s="34" t="str">
        <f>總表!H40</f>
        <v>第5桌</v>
      </c>
      <c r="B46" s="35" t="str">
        <f>總表!C40</f>
        <v>謝宇軒</v>
      </c>
      <c r="C46" s="35" t="str">
        <f>總表!D40</f>
        <v>富吳通訊處</v>
      </c>
      <c r="D46" s="34" t="str">
        <f>總表!E40</f>
        <v>男</v>
      </c>
      <c r="E46" s="34" t="str">
        <f>總表!A40</f>
        <v>18</v>
      </c>
      <c r="F46" s="34" t="str">
        <f>總表!B40</f>
        <v>36</v>
      </c>
      <c r="G46" s="34" t="str">
        <f>IF(總表!F40="","",總表!F40)</f>
        <v/>
      </c>
      <c r="H46" s="34" t="str">
        <f>IF(總表!G40="","",總表!G40)</f>
        <v/>
      </c>
    </row>
    <row r="47" spans="1:8">
      <c r="A47" s="34" t="str">
        <f>總表!H57</f>
        <v>第5桌</v>
      </c>
      <c r="B47" s="35" t="str">
        <f>總表!C57</f>
        <v>吳品萱</v>
      </c>
      <c r="C47" s="35" t="str">
        <f>總表!D57</f>
        <v>富則通訊處</v>
      </c>
      <c r="D47" s="34" t="str">
        <f>總表!E57</f>
        <v>女</v>
      </c>
      <c r="E47" s="34" t="str">
        <f>總表!A57</f>
        <v>27</v>
      </c>
      <c r="F47" s="34" t="str">
        <f>總表!B57</f>
        <v>53</v>
      </c>
      <c r="G47" s="34" t="str">
        <f>IF(總表!F57="","",總表!F57)</f>
        <v/>
      </c>
      <c r="H47" s="34" t="str">
        <f>IF(總表!G57="","",總表!G57)</f>
        <v/>
      </c>
    </row>
    <row r="48" spans="1:8">
      <c r="A48" s="34" t="str">
        <f>總表!H59</f>
        <v>第5桌</v>
      </c>
      <c r="B48" s="35" t="str">
        <f>總表!C59</f>
        <v>余妏珊</v>
      </c>
      <c r="C48" s="35" t="str">
        <f>總表!D59</f>
        <v>富則通訊處</v>
      </c>
      <c r="D48" s="34" t="str">
        <f>總表!E59</f>
        <v>女</v>
      </c>
      <c r="E48" s="34" t="str">
        <f>總表!A59</f>
        <v>28</v>
      </c>
      <c r="F48" s="34" t="str">
        <f>總表!B59</f>
        <v>55</v>
      </c>
      <c r="G48" s="34" t="str">
        <f>IF(總表!F59="","",總表!F59)</f>
        <v/>
      </c>
      <c r="H48" s="34" t="str">
        <f>IF(總表!G59="","",總表!G59)</f>
        <v/>
      </c>
    </row>
    <row r="49" spans="1:8">
      <c r="A49" s="34" t="str">
        <f>總表!H60</f>
        <v>第5桌</v>
      </c>
      <c r="B49" s="35" t="str">
        <f>總表!C60</f>
        <v>余若馨</v>
      </c>
      <c r="C49" s="35" t="str">
        <f>總表!D60</f>
        <v>富則通訊處</v>
      </c>
      <c r="D49" s="34" t="str">
        <f>總表!E60</f>
        <v>女</v>
      </c>
      <c r="E49" s="34" t="str">
        <f>總表!A60</f>
        <v>28</v>
      </c>
      <c r="F49" s="34" t="str">
        <f>總表!B60</f>
        <v>56</v>
      </c>
      <c r="G49" s="34" t="str">
        <f>IF(總表!F60="","",總表!F60)</f>
        <v/>
      </c>
      <c r="H49" s="34" t="str">
        <f>IF(總表!G60="","",總表!G60)</f>
        <v/>
      </c>
    </row>
    <row r="50" spans="1:8">
      <c r="A50" s="34" t="str">
        <f>總表!H63</f>
        <v>第5桌</v>
      </c>
      <c r="B50" s="35" t="str">
        <f>總表!C63</f>
        <v>李孟珊</v>
      </c>
      <c r="C50" s="35" t="str">
        <f>總表!D63</f>
        <v>富則通訊處</v>
      </c>
      <c r="D50" s="34" t="str">
        <f>總表!E63</f>
        <v>女</v>
      </c>
      <c r="E50" s="34" t="str">
        <f>總表!A63</f>
        <v>30</v>
      </c>
      <c r="F50" s="34" t="str">
        <f>總表!B63</f>
        <v>59</v>
      </c>
      <c r="G50" s="34" t="str">
        <f>IF(總表!F63="","",總表!F63)</f>
        <v/>
      </c>
      <c r="H50" s="34" t="str">
        <f>IF(總表!G63="","",總表!G63)</f>
        <v/>
      </c>
    </row>
    <row r="51" spans="1:8">
      <c r="A51" s="34" t="str">
        <f>總表!H67</f>
        <v>第5桌</v>
      </c>
      <c r="B51" s="35" t="str">
        <f>總表!C67</f>
        <v>高智源</v>
      </c>
      <c r="C51" s="35" t="str">
        <f>總表!D67</f>
        <v>富則通訊處</v>
      </c>
      <c r="D51" s="34" t="str">
        <f>總表!E67</f>
        <v>男</v>
      </c>
      <c r="E51" s="34" t="str">
        <f>總表!A67</f>
        <v>32</v>
      </c>
      <c r="F51" s="34" t="str">
        <f>總表!B67</f>
        <v>63</v>
      </c>
      <c r="G51" s="34" t="str">
        <f>IF(總表!F67="","",總表!F67)</f>
        <v/>
      </c>
      <c r="H51" s="34" t="str">
        <f>IF(總表!G67="","",總表!G67)</f>
        <v/>
      </c>
    </row>
    <row r="52" spans="1:8">
      <c r="A52" s="34" t="str">
        <f>總表!H68</f>
        <v>第5桌</v>
      </c>
      <c r="B52" s="35" t="str">
        <f>總表!C68</f>
        <v>王銘宏</v>
      </c>
      <c r="C52" s="35" t="str">
        <f>總表!D68</f>
        <v>富則通訊處</v>
      </c>
      <c r="D52" s="34" t="str">
        <f>總表!E68</f>
        <v>男</v>
      </c>
      <c r="E52" s="34" t="str">
        <f>總表!A68</f>
        <v>32</v>
      </c>
      <c r="F52" s="34" t="str">
        <f>總表!B68</f>
        <v>64</v>
      </c>
      <c r="G52" s="34" t="str">
        <f>IF(總表!F68="","",總表!F68)</f>
        <v/>
      </c>
      <c r="H52" s="34" t="str">
        <f>IF(總表!G68="","",總表!G68)</f>
        <v/>
      </c>
    </row>
    <row r="53" spans="1:8">
      <c r="A53" s="34" t="str">
        <f>總表!H89</f>
        <v>第5桌</v>
      </c>
      <c r="B53" s="35" t="str">
        <f>總表!C89</f>
        <v>吳修毅</v>
      </c>
      <c r="C53" s="35" t="str">
        <f>總表!D89</f>
        <v>富吳通訊處</v>
      </c>
      <c r="D53" s="34" t="str">
        <f>總表!E89</f>
        <v>男</v>
      </c>
      <c r="E53" s="34" t="str">
        <f>總表!A89</f>
        <v>44</v>
      </c>
      <c r="F53" s="34">
        <f>總表!B89</f>
        <v>85</v>
      </c>
      <c r="G53" s="34" t="str">
        <f>IF(總表!F89="","",總表!F89)</f>
        <v/>
      </c>
      <c r="H53" s="34" t="str">
        <f>IF(總表!G89="","",總表!G89)</f>
        <v/>
      </c>
    </row>
    <row r="54" spans="1:8">
      <c r="A54" s="34" t="str">
        <f>總表!H17</f>
        <v>第6桌</v>
      </c>
      <c r="B54" s="35" t="str">
        <f>總表!C17</f>
        <v>陳武均</v>
      </c>
      <c r="C54" s="35" t="str">
        <f>總表!D17</f>
        <v>富予二通訊處</v>
      </c>
      <c r="D54" s="34" t="str">
        <f>總表!E17</f>
        <v>男</v>
      </c>
      <c r="E54" s="34" t="str">
        <f>總表!A17</f>
        <v>7</v>
      </c>
      <c r="F54" s="34" t="str">
        <f>總表!B17</f>
        <v>13</v>
      </c>
      <c r="G54" s="34" t="str">
        <f>IF(總表!F17="","",總表!F17)</f>
        <v/>
      </c>
      <c r="H54" s="34" t="str">
        <f>IF(總表!G17="","",總表!G17)</f>
        <v/>
      </c>
    </row>
    <row r="55" spans="1:8">
      <c r="A55" s="34" t="str">
        <f>總表!H18</f>
        <v>第6桌</v>
      </c>
      <c r="B55" s="35" t="str">
        <f>總表!C18</f>
        <v>陳尚禾</v>
      </c>
      <c r="C55" s="35" t="str">
        <f>總表!D18</f>
        <v>富予二通訊處</v>
      </c>
      <c r="D55" s="34" t="str">
        <f>總表!E18</f>
        <v>男</v>
      </c>
      <c r="E55" s="34" t="str">
        <f>總表!A18</f>
        <v>7</v>
      </c>
      <c r="F55" s="34" t="str">
        <f>總表!B18</f>
        <v>14</v>
      </c>
      <c r="G55" s="34" t="str">
        <f>IF(總表!F18="","",總表!F18)</f>
        <v/>
      </c>
      <c r="H55" s="34" t="str">
        <f>IF(總表!G18="","",總表!G18)</f>
        <v/>
      </c>
    </row>
    <row r="56" spans="1:8">
      <c r="A56" s="34" t="str">
        <f>總表!H19</f>
        <v>第6桌</v>
      </c>
      <c r="B56" s="35" t="str">
        <f>總表!C19</f>
        <v>陳昶聿</v>
      </c>
      <c r="C56" s="35" t="str">
        <f>總表!D19</f>
        <v>富予二通訊處</v>
      </c>
      <c r="D56" s="34" t="str">
        <f>總表!E19</f>
        <v>男</v>
      </c>
      <c r="E56" s="34" t="str">
        <f>總表!A19</f>
        <v>8</v>
      </c>
      <c r="F56" s="34" t="str">
        <f>總表!B19</f>
        <v>15</v>
      </c>
      <c r="G56" s="34" t="str">
        <f>IF(總表!F19="","",總表!F19)</f>
        <v/>
      </c>
      <c r="H56" s="34" t="str">
        <f>IF(總表!G19="","",總表!G19)</f>
        <v/>
      </c>
    </row>
    <row r="57" spans="1:8">
      <c r="A57" s="34" t="str">
        <f>總表!H20</f>
        <v>第6桌</v>
      </c>
      <c r="B57" s="35" t="str">
        <f>總表!C20</f>
        <v>宋里安</v>
      </c>
      <c r="C57" s="35" t="str">
        <f>總表!D20</f>
        <v>富予二通訊處</v>
      </c>
      <c r="D57" s="34" t="str">
        <f>總表!E20</f>
        <v>男</v>
      </c>
      <c r="E57" s="34" t="str">
        <f>總表!A20</f>
        <v>8</v>
      </c>
      <c r="F57" s="34" t="str">
        <f>總表!B20</f>
        <v>16</v>
      </c>
      <c r="G57" s="34" t="str">
        <f>IF(總表!F20="","",總表!F20)</f>
        <v/>
      </c>
      <c r="H57" s="34" t="str">
        <f>IF(總表!G20="","",總表!G20)</f>
        <v/>
      </c>
    </row>
    <row r="58" spans="1:8">
      <c r="A58" s="34" t="str">
        <f>總表!H21</f>
        <v>第6桌</v>
      </c>
      <c r="B58" s="35" t="str">
        <f>總表!C21</f>
        <v>賴芯甯</v>
      </c>
      <c r="C58" s="35" t="str">
        <f>總表!D21</f>
        <v>富予二通訊處</v>
      </c>
      <c r="D58" s="34" t="str">
        <f>總表!E21</f>
        <v>女</v>
      </c>
      <c r="E58" s="34" t="str">
        <f>總表!A21</f>
        <v>9</v>
      </c>
      <c r="F58" s="34" t="str">
        <f>總表!B21</f>
        <v>17</v>
      </c>
      <c r="G58" s="34" t="str">
        <f>IF(總表!F21="","",總表!F21)</f>
        <v/>
      </c>
      <c r="H58" s="34" t="str">
        <f>IF(總表!G21="","",總表!G21)</f>
        <v/>
      </c>
    </row>
    <row r="59" spans="1:8">
      <c r="A59" s="34" t="str">
        <f>總表!H22</f>
        <v>第6桌</v>
      </c>
      <c r="B59" s="35" t="str">
        <f>總表!C22</f>
        <v>高泰琳</v>
      </c>
      <c r="C59" s="35" t="str">
        <f>總表!D22</f>
        <v>富予二通訊處</v>
      </c>
      <c r="D59" s="34" t="str">
        <f>總表!E22</f>
        <v>女</v>
      </c>
      <c r="E59" s="34" t="str">
        <f>總表!A22</f>
        <v>9</v>
      </c>
      <c r="F59" s="34" t="str">
        <f>總表!B22</f>
        <v>18</v>
      </c>
      <c r="G59" s="34" t="str">
        <f>IF(總表!F22="","",總表!F22)</f>
        <v/>
      </c>
      <c r="H59" s="34" t="str">
        <f>IF(總表!G22="","",總表!G22)</f>
        <v/>
      </c>
    </row>
    <row r="60" spans="1:8">
      <c r="A60" s="34" t="str">
        <f>總表!H23</f>
        <v>第6桌</v>
      </c>
      <c r="B60" s="35" t="str">
        <f>總表!C23</f>
        <v>許瓊云</v>
      </c>
      <c r="C60" s="35" t="str">
        <f>總表!D23</f>
        <v>富予二通訊處</v>
      </c>
      <c r="D60" s="34" t="str">
        <f>總表!E23</f>
        <v>女</v>
      </c>
      <c r="E60" s="34" t="str">
        <f>總表!A23</f>
        <v>10</v>
      </c>
      <c r="F60" s="34" t="str">
        <f>總表!B23</f>
        <v>19</v>
      </c>
      <c r="G60" s="34" t="str">
        <f>IF(總表!F23="","",總表!F23)</f>
        <v/>
      </c>
      <c r="H60" s="34" t="str">
        <f>IF(總表!G23="","",總表!G23)</f>
        <v/>
      </c>
    </row>
    <row r="61" spans="1:8">
      <c r="A61" s="34" t="str">
        <f>總表!H83</f>
        <v>第6桌</v>
      </c>
      <c r="B61" s="35" t="str">
        <f>總表!C83</f>
        <v>曾翊雯</v>
      </c>
      <c r="C61" s="35" t="str">
        <f>總表!D83</f>
        <v>中沐通訊處</v>
      </c>
      <c r="D61" s="34" t="str">
        <f>總表!E83</f>
        <v>女</v>
      </c>
      <c r="E61" s="34" t="str">
        <f>總表!A83</f>
        <v>40</v>
      </c>
      <c r="F61" s="34" t="str">
        <f>總表!B83</f>
        <v>79</v>
      </c>
      <c r="G61" s="34" t="str">
        <f>IF(總表!F83="","",總表!F83)</f>
        <v/>
      </c>
      <c r="H61" s="34" t="str">
        <f>IF(總表!G83="","",總表!G83)</f>
        <v/>
      </c>
    </row>
    <row r="62" spans="1:8">
      <c r="A62" s="34" t="str">
        <f>總表!H84</f>
        <v>第6桌</v>
      </c>
      <c r="B62" s="35" t="str">
        <f>總表!C84</f>
        <v>王原軍</v>
      </c>
      <c r="C62" s="35" t="str">
        <f>總表!D84</f>
        <v>中沐通訊處</v>
      </c>
      <c r="D62" s="34" t="str">
        <f>總表!E84</f>
        <v>男</v>
      </c>
      <c r="E62" s="34" t="str">
        <f>總表!A84</f>
        <v>40</v>
      </c>
      <c r="F62" s="34" t="str">
        <f>總表!B84</f>
        <v>80</v>
      </c>
      <c r="G62" s="34" t="str">
        <f>IF(總表!F84="","",總表!F84)</f>
        <v/>
      </c>
      <c r="H62" s="34" t="str">
        <f>IF(總表!G84="","",總表!G84)</f>
        <v/>
      </c>
    </row>
    <row r="63" spans="1:8">
      <c r="A63" s="34" t="str">
        <f>總表!H46</f>
        <v>第7桌</v>
      </c>
      <c r="B63" s="35" t="str">
        <f>總表!C46</f>
        <v>王昱文</v>
      </c>
      <c r="C63" s="35" t="str">
        <f>總表!D46</f>
        <v>富則通訊處</v>
      </c>
      <c r="D63" s="34" t="str">
        <f>總表!E46</f>
        <v>男</v>
      </c>
      <c r="E63" s="34" t="str">
        <f>總表!A46</f>
        <v>21</v>
      </c>
      <c r="F63" s="34" t="str">
        <f>總表!B46</f>
        <v>42</v>
      </c>
      <c r="G63" s="34" t="str">
        <f>IF(總表!F46="","",總表!F46)</f>
        <v/>
      </c>
      <c r="H63" s="34" t="str">
        <f>IF(總表!G46="","",總表!G46)</f>
        <v/>
      </c>
    </row>
    <row r="64" spans="1:8">
      <c r="A64" s="34" t="str">
        <f>總表!H48</f>
        <v>第7桌</v>
      </c>
      <c r="B64" s="35" t="str">
        <f>總表!C48</f>
        <v>林桂安</v>
      </c>
      <c r="C64" s="35" t="str">
        <f>總表!D48</f>
        <v>富則通訊處</v>
      </c>
      <c r="D64" s="34" t="str">
        <f>總表!E48</f>
        <v>女</v>
      </c>
      <c r="E64" s="34" t="str">
        <f>總表!A48</f>
        <v>22</v>
      </c>
      <c r="F64" s="34" t="str">
        <f>總表!B48</f>
        <v>44</v>
      </c>
      <c r="G64" s="34" t="str">
        <f>IF(總表!F48="","",總表!F48)</f>
        <v/>
      </c>
      <c r="H64" s="34" t="str">
        <f>IF(總表!G48="","",總表!G48)</f>
        <v/>
      </c>
    </row>
    <row r="65" spans="1:8">
      <c r="A65" s="34" t="str">
        <f>總表!H58</f>
        <v>第7桌</v>
      </c>
      <c r="B65" s="35" t="str">
        <f>總表!C58</f>
        <v>林芳誼</v>
      </c>
      <c r="C65" s="35" t="str">
        <f>總表!D58</f>
        <v>富則通訊處</v>
      </c>
      <c r="D65" s="34" t="str">
        <f>總表!E58</f>
        <v>女</v>
      </c>
      <c r="E65" s="34" t="str">
        <f>總表!A58</f>
        <v>27</v>
      </c>
      <c r="F65" s="34" t="str">
        <f>總表!B58</f>
        <v>54</v>
      </c>
      <c r="G65" s="34" t="str">
        <f>IF(總表!F58="","",總表!F58)</f>
        <v/>
      </c>
      <c r="H65" s="34" t="str">
        <f>IF(總表!G58="","",總表!G58)</f>
        <v/>
      </c>
    </row>
    <row r="66" spans="1:8">
      <c r="A66" s="34" t="str">
        <f>總表!H61</f>
        <v>第7桌</v>
      </c>
      <c r="B66" s="35" t="str">
        <f>總表!C61</f>
        <v>吳沛錞</v>
      </c>
      <c r="C66" s="35" t="str">
        <f>總表!D61</f>
        <v>富則通訊處</v>
      </c>
      <c r="D66" s="34" t="str">
        <f>總表!E61</f>
        <v>女</v>
      </c>
      <c r="E66" s="34" t="str">
        <f>總表!A61</f>
        <v>29</v>
      </c>
      <c r="F66" s="34" t="str">
        <f>總表!B61</f>
        <v>57</v>
      </c>
      <c r="G66" s="34" t="str">
        <f>IF(總表!F61="","",總表!F61)</f>
        <v/>
      </c>
      <c r="H66" s="34" t="str">
        <f>IF(總表!G61="","",總表!G61)</f>
        <v/>
      </c>
    </row>
    <row r="67" spans="1:8">
      <c r="A67" s="34" t="str">
        <f>總表!H62</f>
        <v>第7桌</v>
      </c>
      <c r="B67" s="35" t="str">
        <f>總表!C62</f>
        <v>李婕詠</v>
      </c>
      <c r="C67" s="35" t="str">
        <f>總表!D62</f>
        <v>富則通訊處</v>
      </c>
      <c r="D67" s="34" t="str">
        <f>總表!E62</f>
        <v>女</v>
      </c>
      <c r="E67" s="34" t="str">
        <f>總表!A62</f>
        <v>29</v>
      </c>
      <c r="F67" s="34" t="str">
        <f>總表!B62</f>
        <v>58</v>
      </c>
      <c r="G67" s="34" t="str">
        <f>IF(總表!F62="","",總表!F62)</f>
        <v/>
      </c>
      <c r="H67" s="34" t="str">
        <f>IF(總表!G62="","",總表!G62)</f>
        <v/>
      </c>
    </row>
    <row r="68" spans="1:8">
      <c r="A68" s="34" t="str">
        <f>總表!H64</f>
        <v>第7桌</v>
      </c>
      <c r="B68" s="35" t="str">
        <f>總表!C64</f>
        <v>黃馨葦</v>
      </c>
      <c r="C68" s="35" t="str">
        <f>總表!D64</f>
        <v>富則通訊處</v>
      </c>
      <c r="D68" s="34" t="str">
        <f>總表!E64</f>
        <v>女</v>
      </c>
      <c r="E68" s="34" t="str">
        <f>總表!A64</f>
        <v>30</v>
      </c>
      <c r="F68" s="34" t="str">
        <f>總表!B64</f>
        <v>60</v>
      </c>
      <c r="G68" s="34" t="str">
        <f>IF(總表!F64="","",總表!F64)</f>
        <v/>
      </c>
      <c r="H68" s="34" t="str">
        <f>IF(總表!G64="","",總表!G64)</f>
        <v/>
      </c>
    </row>
    <row r="69" spans="1:8">
      <c r="A69" s="34" t="str">
        <f>總表!H69</f>
        <v>第7桌</v>
      </c>
      <c r="B69" s="35" t="str">
        <f>總表!C69</f>
        <v>洪敬忠</v>
      </c>
      <c r="C69" s="35" t="str">
        <f>總表!D69</f>
        <v>富則六通訊處</v>
      </c>
      <c r="D69" s="34" t="str">
        <f>總表!E69</f>
        <v>男</v>
      </c>
      <c r="E69" s="34" t="str">
        <f>總表!A69</f>
        <v>33</v>
      </c>
      <c r="F69" s="34" t="str">
        <f>總表!B69</f>
        <v>65</v>
      </c>
      <c r="G69" s="34" t="str">
        <f>IF(總表!F69="","",總表!F69)</f>
        <v/>
      </c>
      <c r="H69" s="34" t="str">
        <f>IF(總表!G69="","",總表!G69)</f>
        <v/>
      </c>
    </row>
    <row r="70" spans="1:8">
      <c r="A70" s="34" t="str">
        <f>總表!H70</f>
        <v>第7桌</v>
      </c>
      <c r="B70" s="35" t="str">
        <f>總表!C70</f>
        <v>廖宇翔</v>
      </c>
      <c r="C70" s="35" t="str">
        <f>總表!D70</f>
        <v>富則六通訊處</v>
      </c>
      <c r="D70" s="34" t="str">
        <f>總表!E70</f>
        <v>男</v>
      </c>
      <c r="E70" s="34" t="str">
        <f>總表!A70</f>
        <v>33</v>
      </c>
      <c r="F70" s="34" t="str">
        <f>總表!B70</f>
        <v>66</v>
      </c>
      <c r="G70" s="34" t="str">
        <f>IF(總表!F70="","",總表!F70)</f>
        <v/>
      </c>
      <c r="H70" s="34" t="str">
        <f>IF(總表!G70="","",總表!G70)</f>
        <v/>
      </c>
    </row>
    <row r="71" spans="1:8">
      <c r="A71" s="34" t="str">
        <f>總表!H24</f>
        <v>第8桌</v>
      </c>
      <c r="B71" s="35" t="str">
        <f>總表!C24</f>
        <v>王姵慈</v>
      </c>
      <c r="C71" s="35" t="str">
        <f>總表!D24</f>
        <v>富吳通訊處</v>
      </c>
      <c r="D71" s="34" t="str">
        <f>總表!E24</f>
        <v>女</v>
      </c>
      <c r="E71" s="34" t="str">
        <f>總表!A24</f>
        <v>10</v>
      </c>
      <c r="F71" s="34" t="str">
        <f>總表!B24</f>
        <v>20</v>
      </c>
      <c r="G71" s="34" t="str">
        <f>IF(總表!F24="","",總表!F24)</f>
        <v/>
      </c>
      <c r="H71" s="34" t="str">
        <f>IF(總表!G24="","",總表!G24)</f>
        <v/>
      </c>
    </row>
    <row r="72" spans="1:8">
      <c r="A72" s="34" t="str">
        <f>總表!H29</f>
        <v>第8桌</v>
      </c>
      <c r="B72" s="35" t="str">
        <f>總表!C29</f>
        <v>王騌捷</v>
      </c>
      <c r="C72" s="35" t="str">
        <f>總表!D29</f>
        <v>富吳通訊處</v>
      </c>
      <c r="D72" s="34" t="str">
        <f>總表!E29</f>
        <v>男</v>
      </c>
      <c r="E72" s="34" t="str">
        <f>總表!A29</f>
        <v>13</v>
      </c>
      <c r="F72" s="34" t="str">
        <f>總表!B29</f>
        <v>25</v>
      </c>
      <c r="G72" s="34" t="str">
        <f>IF(總表!F29="","",總表!F29)</f>
        <v/>
      </c>
      <c r="H72" s="34" t="str">
        <f>IF(總表!G29="","",總表!G29)</f>
        <v/>
      </c>
    </row>
    <row r="73" spans="1:8">
      <c r="A73" s="34" t="str">
        <f>總表!H36</f>
        <v>第8桌</v>
      </c>
      <c r="B73" s="35" t="str">
        <f>總表!C36</f>
        <v>林建璋</v>
      </c>
      <c r="C73" s="35" t="str">
        <f>總表!D36</f>
        <v>富吳通訊處</v>
      </c>
      <c r="D73" s="34" t="str">
        <f>總表!E36</f>
        <v>男</v>
      </c>
      <c r="E73" s="34" t="str">
        <f>總表!A36</f>
        <v>16</v>
      </c>
      <c r="F73" s="34" t="str">
        <f>總表!B36</f>
        <v>32</v>
      </c>
      <c r="G73" s="34" t="str">
        <f>IF(總表!F36="","",總表!F36)</f>
        <v/>
      </c>
      <c r="H73" s="34" t="str">
        <f>IF(總表!G36="","",總表!G36)</f>
        <v/>
      </c>
    </row>
    <row r="74" spans="1:8">
      <c r="A74" s="34" t="str">
        <f>總表!H37</f>
        <v>第8桌</v>
      </c>
      <c r="B74" s="35" t="str">
        <f>總表!C37</f>
        <v>李奕寬</v>
      </c>
      <c r="C74" s="35" t="str">
        <f>總表!D37</f>
        <v>富吳通訊處</v>
      </c>
      <c r="D74" s="34" t="str">
        <f>總表!E37</f>
        <v>男</v>
      </c>
      <c r="E74" s="34" t="str">
        <f>總表!A37</f>
        <v>17</v>
      </c>
      <c r="F74" s="34" t="str">
        <f>總表!B37</f>
        <v>33</v>
      </c>
      <c r="G74" s="34" t="str">
        <f>IF(總表!F37="","",總表!F37)</f>
        <v/>
      </c>
      <c r="H74" s="34" t="str">
        <f>IF(總表!G37="","",總表!G37)</f>
        <v/>
      </c>
    </row>
    <row r="75" spans="1:8">
      <c r="A75" s="34" t="str">
        <f>總表!H38</f>
        <v>第8桌</v>
      </c>
      <c r="B75" s="35" t="str">
        <f>總表!C38</f>
        <v>黃彥融</v>
      </c>
      <c r="C75" s="35" t="str">
        <f>總表!D38</f>
        <v>富吳通訊處</v>
      </c>
      <c r="D75" s="34" t="str">
        <f>總表!E38</f>
        <v>男</v>
      </c>
      <c r="E75" s="34" t="str">
        <f>總表!A38</f>
        <v>17</v>
      </c>
      <c r="F75" s="34" t="str">
        <f>總表!B38</f>
        <v>34</v>
      </c>
      <c r="G75" s="34" t="str">
        <f>IF(總表!F38="","",總表!F38)</f>
        <v/>
      </c>
      <c r="H75" s="34" t="str">
        <f>IF(總表!G38="","",總表!G38)</f>
        <v/>
      </c>
    </row>
    <row r="76" spans="1:8">
      <c r="A76" s="34" t="str">
        <f>總表!H41</f>
        <v>第8桌</v>
      </c>
      <c r="B76" s="35" t="str">
        <f>總表!C41</f>
        <v>戴孜安</v>
      </c>
      <c r="C76" s="35" t="str">
        <f>總表!D41</f>
        <v>富吳通訊處</v>
      </c>
      <c r="D76" s="34" t="str">
        <f>總表!E41</f>
        <v>女</v>
      </c>
      <c r="E76" s="34" t="str">
        <f>總表!A41</f>
        <v>19</v>
      </c>
      <c r="F76" s="34" t="str">
        <f>總表!B41</f>
        <v>37</v>
      </c>
      <c r="G76" s="34" t="str">
        <f>IF(總表!F41="","",總表!F41)</f>
        <v/>
      </c>
      <c r="H76" s="34" t="str">
        <f>IF(總表!G41="","",總表!G41)</f>
        <v/>
      </c>
    </row>
    <row r="77" spans="1:8">
      <c r="A77" s="34" t="str">
        <f>總表!H42</f>
        <v>第8桌</v>
      </c>
      <c r="B77" s="35" t="str">
        <f>總表!C42</f>
        <v>徐瀚</v>
      </c>
      <c r="C77" s="35" t="str">
        <f>總表!D42</f>
        <v>富吳通訊處</v>
      </c>
      <c r="D77" s="34" t="str">
        <f>總表!E42</f>
        <v>男</v>
      </c>
      <c r="E77" s="34" t="str">
        <f>總表!A42</f>
        <v>19</v>
      </c>
      <c r="F77" s="34" t="str">
        <f>總表!B42</f>
        <v>38</v>
      </c>
      <c r="G77" s="34" t="str">
        <f>IF(總表!F42="","",總表!F42)</f>
        <v/>
      </c>
      <c r="H77" s="34" t="str">
        <f>IF(總表!G42="","",總表!G42)</f>
        <v/>
      </c>
    </row>
    <row r="78" spans="1:8">
      <c r="A78" s="34" t="str">
        <f>總表!H43</f>
        <v>第8桌</v>
      </c>
      <c r="B78" s="35" t="str">
        <f>總表!C43</f>
        <v>許嘉晉</v>
      </c>
      <c r="C78" s="35" t="str">
        <f>總表!D43</f>
        <v>富則通訊處</v>
      </c>
      <c r="D78" s="34" t="str">
        <f>總表!E43</f>
        <v>男</v>
      </c>
      <c r="E78" s="34" t="str">
        <f>總表!A43</f>
        <v>20</v>
      </c>
      <c r="F78" s="34" t="str">
        <f>總表!B43</f>
        <v>39</v>
      </c>
      <c r="G78" s="34" t="str">
        <f>IF(總表!F43="","",總表!F43)</f>
        <v/>
      </c>
      <c r="H78" s="34" t="str">
        <f>IF(總表!G43="","",總表!G43)</f>
        <v/>
      </c>
    </row>
    <row r="79" spans="1:8">
      <c r="A79" s="34" t="str">
        <f>總表!H44</f>
        <v>第8桌</v>
      </c>
      <c r="B79" s="35" t="str">
        <f>總表!C44</f>
        <v>侯宏詣</v>
      </c>
      <c r="C79" s="35" t="str">
        <f>總表!D44</f>
        <v>富則通訊處</v>
      </c>
      <c r="D79" s="34" t="str">
        <f>總表!E44</f>
        <v>男</v>
      </c>
      <c r="E79" s="34" t="str">
        <f>總表!A44</f>
        <v>20</v>
      </c>
      <c r="F79" s="34" t="str">
        <f>總表!B44</f>
        <v>40</v>
      </c>
      <c r="G79" s="34" t="str">
        <f>IF(總表!F44="","",總表!F44)</f>
        <v/>
      </c>
      <c r="H79" s="34" t="str">
        <f>IF(總表!G44="","",總表!G44)</f>
        <v/>
      </c>
    </row>
    <row r="80" spans="1:8">
      <c r="A80" s="34" t="str">
        <f>總表!H88</f>
        <v>第8桌</v>
      </c>
      <c r="B80" s="35" t="str">
        <f>總表!C88</f>
        <v>邱仲恩</v>
      </c>
      <c r="C80" s="35" t="str">
        <f>總表!D88</f>
        <v>富吳通訊處</v>
      </c>
      <c r="D80" s="34" t="str">
        <f>總表!E88</f>
        <v>男</v>
      </c>
      <c r="E80" s="34" t="str">
        <f>總表!A88</f>
        <v>43</v>
      </c>
      <c r="F80" s="34" t="str">
        <f>總表!B88</f>
        <v>84</v>
      </c>
      <c r="G80" s="34" t="str">
        <f>IF(總表!F88="","",總表!F88)</f>
        <v/>
      </c>
      <c r="H80" s="34" t="str">
        <f>IF(總表!G88="","",總表!G88)</f>
        <v/>
      </c>
    </row>
    <row r="81" spans="1:8">
      <c r="A81" s="34" t="str">
        <f>總表!H26</f>
        <v>第9桌</v>
      </c>
      <c r="B81" s="35" t="str">
        <f>總表!C26</f>
        <v>吳佩姗</v>
      </c>
      <c r="C81" s="35" t="str">
        <f>總表!D26</f>
        <v>富吳通訊處</v>
      </c>
      <c r="D81" s="34" t="str">
        <f>總表!E26</f>
        <v>女</v>
      </c>
      <c r="E81" s="34" t="str">
        <f>總表!A26</f>
        <v>11</v>
      </c>
      <c r="F81" s="34" t="str">
        <f>總表!B26</f>
        <v>22</v>
      </c>
      <c r="G81" s="34" t="str">
        <f>IF(總表!F26="","",總表!F26)</f>
        <v/>
      </c>
      <c r="H81" s="34" t="str">
        <f>IF(總表!G26="","",總表!G26)</f>
        <v/>
      </c>
    </row>
    <row r="82" spans="1:8">
      <c r="A82" s="34" t="str">
        <f>總表!H27</f>
        <v>第9桌</v>
      </c>
      <c r="B82" s="35" t="str">
        <f>總表!C27</f>
        <v>王鄆郅</v>
      </c>
      <c r="C82" s="35" t="str">
        <f>總表!D27</f>
        <v>富吳通訊處</v>
      </c>
      <c r="D82" s="34" t="str">
        <f>總表!E27</f>
        <v>男</v>
      </c>
      <c r="E82" s="34" t="str">
        <f>總表!A27</f>
        <v>12</v>
      </c>
      <c r="F82" s="34" t="str">
        <f>總表!B27</f>
        <v>23</v>
      </c>
      <c r="G82" s="34" t="str">
        <f>IF(總表!F27="","",總表!F27)</f>
        <v/>
      </c>
      <c r="H82" s="34" t="str">
        <f>IF(總表!G27="","",總表!G27)</f>
        <v/>
      </c>
    </row>
    <row r="83" spans="1:8">
      <c r="A83" s="34" t="str">
        <f>總表!H28</f>
        <v>第9桌</v>
      </c>
      <c r="B83" s="35" t="str">
        <f>總表!C28</f>
        <v>廖冠傑</v>
      </c>
      <c r="C83" s="35" t="str">
        <f>總表!D28</f>
        <v>富吳通訊處</v>
      </c>
      <c r="D83" s="34" t="str">
        <f>總表!E28</f>
        <v>男</v>
      </c>
      <c r="E83" s="34" t="str">
        <f>總表!A28</f>
        <v>12</v>
      </c>
      <c r="F83" s="34" t="str">
        <f>總表!B28</f>
        <v>24</v>
      </c>
      <c r="G83" s="34" t="str">
        <f>IF(總表!F28="","",總表!F28)</f>
        <v/>
      </c>
      <c r="H83" s="34" t="str">
        <f>IF(總表!G28="","",總表!G28)</f>
        <v/>
      </c>
    </row>
    <row r="84" spans="1:8">
      <c r="A84" s="34" t="str">
        <f>總表!H30</f>
        <v>第9桌</v>
      </c>
      <c r="B84" s="35" t="str">
        <f>總表!C30</f>
        <v>黃金隆</v>
      </c>
      <c r="C84" s="35" t="str">
        <f>總表!D30</f>
        <v>富吳通訊處</v>
      </c>
      <c r="D84" s="34" t="str">
        <f>總表!E30</f>
        <v>男</v>
      </c>
      <c r="E84" s="34" t="str">
        <f>總表!A30</f>
        <v>13</v>
      </c>
      <c r="F84" s="34" t="str">
        <f>總表!B30</f>
        <v>26</v>
      </c>
      <c r="G84" s="34" t="str">
        <f>IF(總表!F30="","",總表!F30)</f>
        <v/>
      </c>
      <c r="H84" s="34" t="str">
        <f>IF(總表!G30="","",總表!G30)</f>
        <v/>
      </c>
    </row>
    <row r="85" spans="1:8">
      <c r="A85" s="34" t="str">
        <f>總表!H31</f>
        <v>第9桌</v>
      </c>
      <c r="B85" s="35" t="str">
        <f>總表!C31</f>
        <v>呂顏伃</v>
      </c>
      <c r="C85" s="35" t="str">
        <f>總表!D31</f>
        <v>富吳通訊處</v>
      </c>
      <c r="D85" s="34" t="str">
        <f>總表!E31</f>
        <v>女</v>
      </c>
      <c r="E85" s="34" t="str">
        <f>總表!A31</f>
        <v>14</v>
      </c>
      <c r="F85" s="34" t="str">
        <f>總表!B31</f>
        <v>27</v>
      </c>
      <c r="G85" s="34" t="str">
        <f>IF(總表!F31="","",總表!F31)</f>
        <v/>
      </c>
      <c r="H85" s="34" t="str">
        <f>IF(總表!G31="","",總表!G31)</f>
        <v/>
      </c>
    </row>
    <row r="86" spans="1:8">
      <c r="A86" s="34" t="str">
        <f>總表!H32</f>
        <v>第9桌</v>
      </c>
      <c r="B86" s="35" t="str">
        <f>總表!C32</f>
        <v>陳怡諳</v>
      </c>
      <c r="C86" s="35" t="str">
        <f>總表!D32</f>
        <v>富吳通訊處</v>
      </c>
      <c r="D86" s="34" t="str">
        <f>總表!E32</f>
        <v>女</v>
      </c>
      <c r="E86" s="34" t="str">
        <f>總表!A32</f>
        <v>14</v>
      </c>
      <c r="F86" s="34" t="str">
        <f>總表!B32</f>
        <v>28</v>
      </c>
      <c r="G86" s="34" t="str">
        <f>IF(總表!F32="","",總表!F32)</f>
        <v/>
      </c>
      <c r="H86" s="34" t="str">
        <f>IF(總表!G32="","",總表!G32)</f>
        <v/>
      </c>
    </row>
    <row r="87" spans="1:8">
      <c r="A87" s="34" t="str">
        <f>總表!H33</f>
        <v>第9桌</v>
      </c>
      <c r="B87" s="35" t="str">
        <f>總表!C33</f>
        <v>彭莉柔</v>
      </c>
      <c r="C87" s="35" t="str">
        <f>總表!D33</f>
        <v>富吳通訊處</v>
      </c>
      <c r="D87" s="34" t="str">
        <f>總表!E33</f>
        <v>女</v>
      </c>
      <c r="E87" s="34" t="str">
        <f>總表!A33</f>
        <v>15</v>
      </c>
      <c r="F87" s="34" t="str">
        <f>總表!B33</f>
        <v>29</v>
      </c>
      <c r="G87" s="34" t="str">
        <f>IF(總表!F33="","",總表!F33)</f>
        <v/>
      </c>
      <c r="H87" s="34" t="str">
        <f>IF(總表!G33="","",總表!G33)</f>
        <v/>
      </c>
    </row>
    <row r="88" spans="1:8">
      <c r="A88" s="34" t="str">
        <f>總表!H34</f>
        <v>第9桌</v>
      </c>
      <c r="B88" s="35" t="str">
        <f>總表!C34</f>
        <v>陳盈蓁</v>
      </c>
      <c r="C88" s="35" t="str">
        <f>總表!D34</f>
        <v>富吳通訊處</v>
      </c>
      <c r="D88" s="34" t="str">
        <f>總表!E34</f>
        <v>女</v>
      </c>
      <c r="E88" s="34" t="str">
        <f>總表!A34</f>
        <v>15</v>
      </c>
      <c r="F88" s="34" t="str">
        <f>總表!B34</f>
        <v>30</v>
      </c>
      <c r="G88" s="34" t="str">
        <f>IF(總表!F34="","",總表!F34)</f>
        <v/>
      </c>
      <c r="H88" s="34" t="str">
        <f>IF(總表!G34="","",總表!G34)</f>
        <v/>
      </c>
    </row>
    <row r="89" spans="1:8">
      <c r="A89" s="34" t="str">
        <f>總表!H35</f>
        <v>第9桌</v>
      </c>
      <c r="B89" s="35" t="str">
        <f>總表!C35</f>
        <v>周易慶</v>
      </c>
      <c r="C89" s="35" t="str">
        <f>總表!D35</f>
        <v>富吳通訊處</v>
      </c>
      <c r="D89" s="34" t="str">
        <f>總表!E35</f>
        <v>男</v>
      </c>
      <c r="E89" s="34" t="str">
        <f>總表!A35</f>
        <v>16</v>
      </c>
      <c r="F89" s="34" t="str">
        <f>總表!B35</f>
        <v>31</v>
      </c>
      <c r="G89" s="34" t="str">
        <f>IF(總表!F35="","",總表!F35)</f>
        <v/>
      </c>
      <c r="H89" s="34" t="str">
        <f>IF(總表!G35="","",總表!G35)</f>
        <v/>
      </c>
    </row>
  </sheetData>
  <mergeCells count="2">
    <mergeCell ref="A1:H1"/>
    <mergeCell ref="A2:H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9"/>
  <sheetViews>
    <sheetView showGridLines="0" topLeftCell="A58" workbookViewId="0">
      <selection sqref="A1:I1"/>
    </sheetView>
  </sheetViews>
  <sheetFormatPr baseColWidth="10" defaultRowHeight="14"/>
  <cols>
    <col min="1" max="2" width="13" customWidth="1"/>
    <col min="3" max="3" width="10" customWidth="1"/>
    <col min="4" max="4" width="13" customWidth="1"/>
    <col min="5" max="5" width="20" customWidth="1"/>
    <col min="6" max="8" width="9" customWidth="1"/>
    <col min="9" max="9" width="18" customWidth="1"/>
  </cols>
  <sheetData>
    <row r="1" spans="1:9" ht="30" customHeight="1">
      <c r="A1" s="49" t="s">
        <v>322</v>
      </c>
      <c r="B1" s="49"/>
      <c r="C1" s="49"/>
      <c r="D1" s="49"/>
      <c r="E1" s="49"/>
      <c r="F1" s="49"/>
      <c r="G1" s="49"/>
      <c r="H1" s="49"/>
      <c r="I1" s="49"/>
    </row>
    <row r="2" spans="1:9" ht="22" customHeight="1">
      <c r="A2" s="50" t="s">
        <v>323</v>
      </c>
      <c r="B2" s="50"/>
      <c r="C2" s="50"/>
      <c r="D2" s="50"/>
      <c r="E2" s="50"/>
      <c r="F2" s="50"/>
      <c r="G2" s="50"/>
      <c r="H2" s="50"/>
      <c r="I2" s="50"/>
    </row>
    <row r="4" spans="1:9" ht="24" customHeight="1">
      <c r="A4" s="34" t="s">
        <v>9</v>
      </c>
      <c r="B4" s="34" t="s">
        <v>10</v>
      </c>
      <c r="C4" s="34" t="s">
        <v>11</v>
      </c>
      <c r="D4" s="35" t="s">
        <v>3</v>
      </c>
      <c r="E4" s="35" t="s">
        <v>4</v>
      </c>
      <c r="F4" s="34" t="s">
        <v>5</v>
      </c>
      <c r="G4" s="34" t="s">
        <v>1</v>
      </c>
      <c r="H4" s="34" t="s">
        <v>2</v>
      </c>
      <c r="I4" s="35" t="s">
        <v>12</v>
      </c>
    </row>
    <row r="5" spans="1:9">
      <c r="A5" s="34" t="str">
        <f>總表!I7</f>
        <v>主桌</v>
      </c>
      <c r="B5" s="34" t="str">
        <f>IF(總表!J7="","",總表!J7)</f>
        <v/>
      </c>
      <c r="C5" s="34" t="str">
        <f>IF(總表!K7="","",總表!K7)</f>
        <v/>
      </c>
      <c r="D5" s="35" t="str">
        <f>總表!C7</f>
        <v>何宜家</v>
      </c>
      <c r="E5" s="35" t="str">
        <f>總表!D7</f>
        <v>高天通訊處</v>
      </c>
      <c r="F5" s="34" t="str">
        <f>總表!E7</f>
        <v>女</v>
      </c>
      <c r="G5" s="34" t="str">
        <f>總表!A7</f>
        <v>2</v>
      </c>
      <c r="H5" s="34" t="str">
        <f>總表!B7</f>
        <v>3</v>
      </c>
      <c r="I5" s="35" t="str">
        <f>IF(總表!L7="","",總表!L7)</f>
        <v/>
      </c>
    </row>
    <row r="6" spans="1:9">
      <c r="A6" s="34" t="str">
        <f>總表!I45</f>
        <v>主桌</v>
      </c>
      <c r="B6" s="34" t="str">
        <f>IF(總表!J45="","",總表!J45)</f>
        <v/>
      </c>
      <c r="C6" s="34" t="str">
        <f>IF(總表!K45="","",總表!K45)</f>
        <v/>
      </c>
      <c r="D6" s="35" t="str">
        <f>總表!C45</f>
        <v>簡宏鈞</v>
      </c>
      <c r="E6" s="35" t="str">
        <f>總表!D45</f>
        <v>富能通訊處</v>
      </c>
      <c r="F6" s="34" t="str">
        <f>總表!E45</f>
        <v>男</v>
      </c>
      <c r="G6" s="34" t="str">
        <f>總表!A45</f>
        <v>21</v>
      </c>
      <c r="H6" s="34" t="str">
        <f>總表!B45</f>
        <v>41</v>
      </c>
      <c r="I6" s="35" t="str">
        <f>IF(總表!L45="","",總表!L45)</f>
        <v/>
      </c>
    </row>
    <row r="7" spans="1:9">
      <c r="A7" s="34" t="str">
        <f>總表!I84</f>
        <v>主桌</v>
      </c>
      <c r="B7" s="34" t="str">
        <f>IF(總表!J84="","",總表!J84)</f>
        <v/>
      </c>
      <c r="C7" s="34" t="str">
        <f>IF(總表!K84="","",總表!K84)</f>
        <v/>
      </c>
      <c r="D7" s="35" t="str">
        <f>總表!C84</f>
        <v>王原軍</v>
      </c>
      <c r="E7" s="35" t="str">
        <f>總表!D84</f>
        <v>中沐通訊處</v>
      </c>
      <c r="F7" s="34" t="str">
        <f>總表!E84</f>
        <v>男</v>
      </c>
      <c r="G7" s="34" t="str">
        <f>總表!A84</f>
        <v>40</v>
      </c>
      <c r="H7" s="34" t="str">
        <f>總表!B84</f>
        <v>80</v>
      </c>
      <c r="I7" s="35" t="str">
        <f>IF(總表!L84="","",總表!L84)</f>
        <v/>
      </c>
    </row>
    <row r="8" spans="1:9">
      <c r="A8" s="34" t="str">
        <f>總表!I85</f>
        <v>主桌</v>
      </c>
      <c r="B8" s="34" t="str">
        <f>IF(總表!J85="","",總表!J85)</f>
        <v/>
      </c>
      <c r="C8" s="34" t="str">
        <f>IF(總表!K85="","",總表!K85)</f>
        <v/>
      </c>
      <c r="D8" s="35" t="str">
        <f>總表!C85</f>
        <v>鄭占禮</v>
      </c>
      <c r="E8" s="35" t="str">
        <f>總表!D85</f>
        <v>富占通訊處</v>
      </c>
      <c r="F8" s="34" t="str">
        <f>總表!E85</f>
        <v>男</v>
      </c>
      <c r="G8" s="34" t="str">
        <f>總表!A85</f>
        <v>41</v>
      </c>
      <c r="H8" s="34" t="str">
        <f>總表!B85</f>
        <v>81</v>
      </c>
      <c r="I8" s="35" t="str">
        <f>IF(總表!L85="","",總表!L85)</f>
        <v/>
      </c>
    </row>
    <row r="9" spans="1:9">
      <c r="A9" s="34" t="str">
        <f>總表!I86</f>
        <v>主桌</v>
      </c>
      <c r="B9" s="34" t="str">
        <f>IF(總表!J86="","",總表!J86)</f>
        <v/>
      </c>
      <c r="C9" s="34" t="str">
        <f>IF(總表!K86="","",總表!K86)</f>
        <v/>
      </c>
      <c r="D9" s="35" t="str">
        <f>總表!C86</f>
        <v>孫振文</v>
      </c>
      <c r="E9" s="35" t="str">
        <f>總表!D86</f>
        <v>富北通訊處</v>
      </c>
      <c r="F9" s="34" t="str">
        <f>總表!E86</f>
        <v>男</v>
      </c>
      <c r="G9" s="34" t="str">
        <f>總表!A86</f>
        <v>41</v>
      </c>
      <c r="H9" s="34" t="str">
        <f>總表!B86</f>
        <v>82</v>
      </c>
      <c r="I9" s="35" t="str">
        <f>IF(總表!L86="","",總表!L86)</f>
        <v/>
      </c>
    </row>
    <row r="10" spans="1:9">
      <c r="A10" s="34" t="str">
        <f>總表!I89</f>
        <v>主桌</v>
      </c>
      <c r="B10" s="34" t="str">
        <f>IF(總表!J89="","",總表!J89)</f>
        <v/>
      </c>
      <c r="C10" s="34" t="str">
        <f>IF(總表!K89="","",總表!K89)</f>
        <v/>
      </c>
      <c r="D10" s="35" t="str">
        <f>總表!C89</f>
        <v>吳修毅</v>
      </c>
      <c r="E10" s="35" t="str">
        <f>總表!D89</f>
        <v>富吳通訊處</v>
      </c>
      <c r="F10" s="34" t="str">
        <f>總表!E89</f>
        <v>男</v>
      </c>
      <c r="G10" s="34" t="str">
        <f>總表!A89</f>
        <v>44</v>
      </c>
      <c r="H10" s="34">
        <f>總表!B89</f>
        <v>85</v>
      </c>
      <c r="I10" s="35" t="str">
        <f>IF(總表!L89="","",總表!L89)</f>
        <v/>
      </c>
    </row>
    <row r="11" spans="1:9">
      <c r="A11" s="34" t="str">
        <f>總表!I11</f>
        <v>第1桌</v>
      </c>
      <c r="B11" s="34" t="str">
        <f>IF(總表!J11="","",總表!J11)</f>
        <v>第1組</v>
      </c>
      <c r="C11" s="34" t="str">
        <f>IF(總表!K11="","",總表!K11)</f>
        <v/>
      </c>
      <c r="D11" s="35" t="str">
        <f>總表!C11</f>
        <v>戴東志</v>
      </c>
      <c r="E11" s="35" t="str">
        <f>總表!D11</f>
        <v>高天通訊處</v>
      </c>
      <c r="F11" s="34" t="str">
        <f>總表!E11</f>
        <v>男</v>
      </c>
      <c r="G11" s="34" t="str">
        <f>總表!A11</f>
        <v>4</v>
      </c>
      <c r="H11" s="34" t="str">
        <f>總表!B11</f>
        <v>7</v>
      </c>
      <c r="I11" s="35" t="str">
        <f>IF(總表!L11="","",總表!L11)</f>
        <v/>
      </c>
    </row>
    <row r="12" spans="1:9">
      <c r="A12" s="34" t="str">
        <f>總表!I15</f>
        <v>第1桌</v>
      </c>
      <c r="B12" s="34" t="str">
        <f>IF(總表!J15="","",總表!J15)</f>
        <v>第1組</v>
      </c>
      <c r="C12" s="34" t="str">
        <f>IF(總表!K15="","",總表!K15)</f>
        <v>組長</v>
      </c>
      <c r="D12" s="35" t="str">
        <f>總表!C15</f>
        <v>黃柏瑞</v>
      </c>
      <c r="E12" s="35" t="str">
        <f>總表!D15</f>
        <v>高貴通訊處</v>
      </c>
      <c r="F12" s="34" t="str">
        <f>總表!E15</f>
        <v>男</v>
      </c>
      <c r="G12" s="34" t="str">
        <f>總表!A15</f>
        <v>6</v>
      </c>
      <c r="H12" s="34" t="str">
        <f>總表!B15</f>
        <v>11</v>
      </c>
      <c r="I12" s="35" t="str">
        <f>IF(總表!L15="","",總表!L15)</f>
        <v/>
      </c>
    </row>
    <row r="13" spans="1:9">
      <c r="A13" s="34" t="str">
        <f>總表!I29</f>
        <v>第1桌</v>
      </c>
      <c r="B13" s="34" t="str">
        <f>IF(總表!J29="","",總表!J29)</f>
        <v>第1組</v>
      </c>
      <c r="C13" s="34" t="str">
        <f>IF(總表!K29="","",總表!K29)</f>
        <v/>
      </c>
      <c r="D13" s="35" t="str">
        <f>總表!C29</f>
        <v>王騌捷</v>
      </c>
      <c r="E13" s="35" t="str">
        <f>總表!D29</f>
        <v>富吳通訊處</v>
      </c>
      <c r="F13" s="34" t="str">
        <f>總表!E29</f>
        <v>男</v>
      </c>
      <c r="G13" s="34" t="str">
        <f>總表!A29</f>
        <v>13</v>
      </c>
      <c r="H13" s="34" t="str">
        <f>總表!B29</f>
        <v>25</v>
      </c>
      <c r="I13" s="35" t="str">
        <f>IF(總表!L29="","",總表!L29)</f>
        <v/>
      </c>
    </row>
    <row r="14" spans="1:9">
      <c r="A14" s="34" t="str">
        <f>總表!I39</f>
        <v>第1桌</v>
      </c>
      <c r="B14" s="34" t="str">
        <f>IF(總表!J39="","",總表!J39)</f>
        <v>第1組</v>
      </c>
      <c r="C14" s="34" t="str">
        <f>IF(總表!K39="","",總表!K39)</f>
        <v/>
      </c>
      <c r="D14" s="35" t="str">
        <f>總表!C39</f>
        <v>鄭丞哲</v>
      </c>
      <c r="E14" s="35" t="str">
        <f>總表!D39</f>
        <v>富吳通訊處</v>
      </c>
      <c r="F14" s="34" t="str">
        <f>總表!E39</f>
        <v>男</v>
      </c>
      <c r="G14" s="34" t="str">
        <f>總表!A39</f>
        <v>18</v>
      </c>
      <c r="H14" s="34" t="str">
        <f>總表!B39</f>
        <v>35</v>
      </c>
      <c r="I14" s="35" t="str">
        <f>IF(總表!L39="","",總表!L39)</f>
        <v/>
      </c>
    </row>
    <row r="15" spans="1:9">
      <c r="A15" s="34" t="str">
        <f>總表!I52</f>
        <v>第1桌</v>
      </c>
      <c r="B15" s="34" t="str">
        <f>IF(總表!J52="","",總表!J52)</f>
        <v>第1組</v>
      </c>
      <c r="C15" s="34" t="str">
        <f>IF(總表!K52="","",總表!K52)</f>
        <v/>
      </c>
      <c r="D15" s="35" t="str">
        <f>總表!C52</f>
        <v>徐維鈴</v>
      </c>
      <c r="E15" s="35" t="str">
        <f>總表!D52</f>
        <v>富占通訊處</v>
      </c>
      <c r="F15" s="34" t="str">
        <f>總表!E52</f>
        <v>女</v>
      </c>
      <c r="G15" s="34" t="str">
        <f>總表!A52</f>
        <v>24</v>
      </c>
      <c r="H15" s="34" t="str">
        <f>總表!B52</f>
        <v>48</v>
      </c>
      <c r="I15" s="35" t="str">
        <f>IF(總表!L52="","",總表!L52)</f>
        <v/>
      </c>
    </row>
    <row r="16" spans="1:9">
      <c r="A16" s="34" t="str">
        <f>總表!I59</f>
        <v>第1桌</v>
      </c>
      <c r="B16" s="34" t="str">
        <f>IF(總表!J59="","",總表!J59)</f>
        <v>第1組</v>
      </c>
      <c r="C16" s="34" t="str">
        <f>IF(總表!K59="","",總表!K59)</f>
        <v/>
      </c>
      <c r="D16" s="35" t="str">
        <f>總表!C59</f>
        <v>余妏珊</v>
      </c>
      <c r="E16" s="35" t="str">
        <f>總表!D59</f>
        <v>富則通訊處</v>
      </c>
      <c r="F16" s="34" t="str">
        <f>總表!E59</f>
        <v>女</v>
      </c>
      <c r="G16" s="34" t="str">
        <f>總表!A59</f>
        <v>28</v>
      </c>
      <c r="H16" s="34" t="str">
        <f>總表!B59</f>
        <v>55</v>
      </c>
      <c r="I16" s="35" t="str">
        <f>IF(總表!L59="","",總表!L59)</f>
        <v/>
      </c>
    </row>
    <row r="17" spans="1:9">
      <c r="A17" s="34" t="str">
        <f>總表!I62</f>
        <v>第1桌</v>
      </c>
      <c r="B17" s="34" t="str">
        <f>IF(總表!J62="","",總表!J62)</f>
        <v>第1組</v>
      </c>
      <c r="C17" s="34" t="str">
        <f>IF(總表!K62="","",總表!K62)</f>
        <v/>
      </c>
      <c r="D17" s="35" t="str">
        <f>總表!C62</f>
        <v>李婕詠</v>
      </c>
      <c r="E17" s="35" t="str">
        <f>總表!D62</f>
        <v>富則通訊處</v>
      </c>
      <c r="F17" s="34" t="str">
        <f>總表!E62</f>
        <v>女</v>
      </c>
      <c r="G17" s="34" t="str">
        <f>總表!A62</f>
        <v>29</v>
      </c>
      <c r="H17" s="34" t="str">
        <f>總表!B62</f>
        <v>58</v>
      </c>
      <c r="I17" s="35" t="str">
        <f>IF(總表!L62="","",總表!L62)</f>
        <v/>
      </c>
    </row>
    <row r="18" spans="1:9">
      <c r="A18" s="34" t="str">
        <f>總表!I73</f>
        <v>第1桌</v>
      </c>
      <c r="B18" s="34" t="str">
        <f>IF(總表!J73="","",總表!J73)</f>
        <v>第1組</v>
      </c>
      <c r="C18" s="34" t="str">
        <f>IF(總表!K73="","",總表!K73)</f>
        <v/>
      </c>
      <c r="D18" s="35" t="str">
        <f>總表!C73</f>
        <v>吳皓誠</v>
      </c>
      <c r="E18" s="35" t="str">
        <f>總表!D73</f>
        <v>富亨通訊處</v>
      </c>
      <c r="F18" s="34" t="str">
        <f>總表!E73</f>
        <v>男</v>
      </c>
      <c r="G18" s="34" t="str">
        <f>總表!A73</f>
        <v>35</v>
      </c>
      <c r="H18" s="34" t="str">
        <f>總表!B73</f>
        <v>69</v>
      </c>
      <c r="I18" s="35" t="str">
        <f>IF(總表!L73="","",總表!L73)</f>
        <v/>
      </c>
    </row>
    <row r="19" spans="1:9">
      <c r="A19" s="34" t="str">
        <f>總表!I80</f>
        <v>第1桌</v>
      </c>
      <c r="B19" s="34" t="str">
        <f>IF(總表!J80="","",總表!J80)</f>
        <v>第1組</v>
      </c>
      <c r="C19" s="34" t="str">
        <f>IF(總表!K80="","",總表!K80)</f>
        <v/>
      </c>
      <c r="D19" s="35" t="str">
        <f>總表!C80</f>
        <v>葉金玲</v>
      </c>
      <c r="E19" s="35" t="str">
        <f>總表!D80</f>
        <v>富鑽通訊處</v>
      </c>
      <c r="F19" s="34" t="str">
        <f>總表!E80</f>
        <v>女</v>
      </c>
      <c r="G19" s="34" t="str">
        <f>總表!A80</f>
        <v>38</v>
      </c>
      <c r="H19" s="34" t="str">
        <f>總表!B80</f>
        <v>76</v>
      </c>
      <c r="I19" s="35" t="str">
        <f>IF(總表!L80="","",總表!L80)</f>
        <v/>
      </c>
    </row>
    <row r="20" spans="1:9">
      <c r="A20" s="34" t="str">
        <f>總表!I8</f>
        <v>第2桌</v>
      </c>
      <c r="B20" s="34" t="str">
        <f>IF(總表!J8="","",總表!J8)</f>
        <v>第2組</v>
      </c>
      <c r="C20" s="34" t="str">
        <f>IF(總表!K8="","",總表!K8)</f>
        <v/>
      </c>
      <c r="D20" s="35" t="str">
        <f>總表!C8</f>
        <v>蕭宇晴</v>
      </c>
      <c r="E20" s="35" t="str">
        <f>總表!D8</f>
        <v>高天通訊處</v>
      </c>
      <c r="F20" s="34" t="str">
        <f>總表!E8</f>
        <v>女</v>
      </c>
      <c r="G20" s="34" t="str">
        <f>總表!A8</f>
        <v>2</v>
      </c>
      <c r="H20" s="34" t="str">
        <f>總表!B8</f>
        <v>4</v>
      </c>
      <c r="I20" s="35" t="str">
        <f>IF(總表!L8="","",總表!L8)</f>
        <v/>
      </c>
    </row>
    <row r="21" spans="1:9">
      <c r="A21" s="34" t="str">
        <f>總表!I16</f>
        <v>第2桌</v>
      </c>
      <c r="B21" s="34" t="str">
        <f>IF(總表!J16="","",總表!J16)</f>
        <v>第2組</v>
      </c>
      <c r="C21" s="34" t="str">
        <f>IF(總表!K16="","",總表!K16)</f>
        <v/>
      </c>
      <c r="D21" s="35" t="str">
        <f>總表!C16</f>
        <v>陳其呈</v>
      </c>
      <c r="E21" s="35" t="str">
        <f>總表!D16</f>
        <v>高貴通訊處</v>
      </c>
      <c r="F21" s="34" t="str">
        <f>總表!E16</f>
        <v>男</v>
      </c>
      <c r="G21" s="34" t="str">
        <f>總表!A16</f>
        <v>6</v>
      </c>
      <c r="H21" s="34" t="str">
        <f>總表!B16</f>
        <v>12</v>
      </c>
      <c r="I21" s="35" t="str">
        <f>IF(總表!L16="","",總表!L16)</f>
        <v/>
      </c>
    </row>
    <row r="22" spans="1:9">
      <c r="A22" s="34" t="str">
        <f>總表!I21</f>
        <v>第2桌</v>
      </c>
      <c r="B22" s="34" t="str">
        <f>IF(總表!J21="","",總表!J21)</f>
        <v>第2組</v>
      </c>
      <c r="C22" s="34" t="str">
        <f>IF(總表!K21="","",總表!K21)</f>
        <v/>
      </c>
      <c r="D22" s="35" t="str">
        <f>總表!C21</f>
        <v>賴芯甯</v>
      </c>
      <c r="E22" s="35" t="str">
        <f>總表!D21</f>
        <v>富予二通訊處</v>
      </c>
      <c r="F22" s="34" t="str">
        <f>總表!E21</f>
        <v>女</v>
      </c>
      <c r="G22" s="34" t="str">
        <f>總表!A21</f>
        <v>9</v>
      </c>
      <c r="H22" s="34" t="str">
        <f>總表!B21</f>
        <v>17</v>
      </c>
      <c r="I22" s="35" t="str">
        <f>IF(總表!L21="","",總表!L21)</f>
        <v/>
      </c>
    </row>
    <row r="23" spans="1:9">
      <c r="A23" s="34" t="str">
        <f>總表!I24</f>
        <v>第2桌</v>
      </c>
      <c r="B23" s="34" t="str">
        <f>IF(總表!J24="","",總表!J24)</f>
        <v>第2組</v>
      </c>
      <c r="C23" s="34" t="str">
        <f>IF(總表!K24="","",總表!K24)</f>
        <v/>
      </c>
      <c r="D23" s="35" t="str">
        <f>總表!C24</f>
        <v>王姵慈</v>
      </c>
      <c r="E23" s="35" t="str">
        <f>總表!D24</f>
        <v>富吳通訊處</v>
      </c>
      <c r="F23" s="34" t="str">
        <f>總表!E24</f>
        <v>女</v>
      </c>
      <c r="G23" s="34" t="str">
        <f>總表!A24</f>
        <v>10</v>
      </c>
      <c r="H23" s="34" t="str">
        <f>總表!B24</f>
        <v>20</v>
      </c>
      <c r="I23" s="35" t="str">
        <f>IF(總表!L24="","",總表!L24)</f>
        <v/>
      </c>
    </row>
    <row r="24" spans="1:9">
      <c r="A24" s="34" t="str">
        <f>總表!I26</f>
        <v>第2桌</v>
      </c>
      <c r="B24" s="34" t="str">
        <f>IF(總表!J26="","",總表!J26)</f>
        <v>第2組</v>
      </c>
      <c r="C24" s="34" t="str">
        <f>IF(總表!K26="","",總表!K26)</f>
        <v/>
      </c>
      <c r="D24" s="35" t="str">
        <f>總表!C26</f>
        <v>吳佩姗</v>
      </c>
      <c r="E24" s="35" t="str">
        <f>總表!D26</f>
        <v>富吳通訊處</v>
      </c>
      <c r="F24" s="34" t="str">
        <f>總表!E26</f>
        <v>女</v>
      </c>
      <c r="G24" s="34" t="str">
        <f>總表!A26</f>
        <v>11</v>
      </c>
      <c r="H24" s="34" t="str">
        <f>總表!B26</f>
        <v>22</v>
      </c>
      <c r="I24" s="35" t="str">
        <f>IF(總表!L26="","",總表!L26)</f>
        <v/>
      </c>
    </row>
    <row r="25" spans="1:9">
      <c r="A25" s="34" t="str">
        <f>總表!I44</f>
        <v>第2桌</v>
      </c>
      <c r="B25" s="34" t="str">
        <f>IF(總表!J44="","",總表!J44)</f>
        <v>第2組</v>
      </c>
      <c r="C25" s="34" t="str">
        <f>IF(總表!K44="","",總表!K44)</f>
        <v/>
      </c>
      <c r="D25" s="35" t="str">
        <f>總表!C44</f>
        <v>侯宏詣</v>
      </c>
      <c r="E25" s="35" t="str">
        <f>總表!D44</f>
        <v>富則通訊處</v>
      </c>
      <c r="F25" s="34" t="str">
        <f>總表!E44</f>
        <v>男</v>
      </c>
      <c r="G25" s="34" t="str">
        <f>總表!A44</f>
        <v>20</v>
      </c>
      <c r="H25" s="34" t="str">
        <f>總表!B44</f>
        <v>40</v>
      </c>
      <c r="I25" s="35" t="str">
        <f>IF(總表!L44="","",總表!L44)</f>
        <v/>
      </c>
    </row>
    <row r="26" spans="1:9">
      <c r="A26" s="34" t="str">
        <f>總表!I55</f>
        <v>第2桌</v>
      </c>
      <c r="B26" s="34" t="str">
        <f>IF(總表!J55="","",總表!J55)</f>
        <v>第2組</v>
      </c>
      <c r="C26" s="34" t="str">
        <f>IF(總表!K55="","",總表!K55)</f>
        <v>組長</v>
      </c>
      <c r="D26" s="35" t="str">
        <f>總表!C55</f>
        <v>顏明儀</v>
      </c>
      <c r="E26" s="35" t="str">
        <f>總表!D55</f>
        <v>富則通訊處</v>
      </c>
      <c r="F26" s="34" t="str">
        <f>總表!E55</f>
        <v>女</v>
      </c>
      <c r="G26" s="34" t="str">
        <f>總表!A55</f>
        <v>26</v>
      </c>
      <c r="H26" s="34" t="str">
        <f>總表!B55</f>
        <v>51</v>
      </c>
      <c r="I26" s="35" t="str">
        <f>IF(總表!L55="","",總表!L55)</f>
        <v/>
      </c>
    </row>
    <row r="27" spans="1:9">
      <c r="A27" s="34" t="str">
        <f>總表!I67</f>
        <v>第2桌</v>
      </c>
      <c r="B27" s="34" t="str">
        <f>IF(總表!J67="","",總表!J67)</f>
        <v>第2組</v>
      </c>
      <c r="C27" s="34" t="str">
        <f>IF(總表!K67="","",總表!K67)</f>
        <v/>
      </c>
      <c r="D27" s="35" t="str">
        <f>總表!C67</f>
        <v>高智源</v>
      </c>
      <c r="E27" s="35" t="str">
        <f>總表!D67</f>
        <v>富則通訊處</v>
      </c>
      <c r="F27" s="34" t="str">
        <f>總表!E67</f>
        <v>男</v>
      </c>
      <c r="G27" s="34" t="str">
        <f>總表!A67</f>
        <v>32</v>
      </c>
      <c r="H27" s="34" t="str">
        <f>總表!B67</f>
        <v>63</v>
      </c>
      <c r="I27" s="35" t="str">
        <f>IF(總表!L67="","",總表!L67)</f>
        <v/>
      </c>
    </row>
    <row r="28" spans="1:9">
      <c r="A28" s="34" t="str">
        <f>總表!I82</f>
        <v>第2桌</v>
      </c>
      <c r="B28" s="34" t="str">
        <f>IF(總表!J82="","",總表!J82)</f>
        <v>第2組</v>
      </c>
      <c r="C28" s="34" t="str">
        <f>IF(總表!K82="","",總表!K82)</f>
        <v/>
      </c>
      <c r="D28" s="35" t="str">
        <f>總表!C82</f>
        <v>林瑋</v>
      </c>
      <c r="E28" s="35" t="str">
        <f>總表!D82</f>
        <v>富北通訊處</v>
      </c>
      <c r="F28" s="34" t="str">
        <f>總表!E82</f>
        <v>男</v>
      </c>
      <c r="G28" s="34" t="str">
        <f>總表!A82</f>
        <v>39</v>
      </c>
      <c r="H28" s="34" t="str">
        <f>總表!B82</f>
        <v>78</v>
      </c>
      <c r="I28" s="35" t="str">
        <f>IF(總表!L82="","",總表!L82)</f>
        <v/>
      </c>
    </row>
    <row r="29" spans="1:9">
      <c r="A29" s="34" t="str">
        <f>總表!I9</f>
        <v>第3桌</v>
      </c>
      <c r="B29" s="34" t="str">
        <f>IF(總表!J9="","",總表!J9)</f>
        <v>第3組</v>
      </c>
      <c r="C29" s="34" t="str">
        <f>IF(總表!K9="","",總表!K9)</f>
        <v/>
      </c>
      <c r="D29" s="35" t="str">
        <f>總表!C9</f>
        <v>蕭如菁</v>
      </c>
      <c r="E29" s="35" t="str">
        <f>總表!D9</f>
        <v>高天通訊處</v>
      </c>
      <c r="F29" s="34" t="str">
        <f>總表!E9</f>
        <v>女</v>
      </c>
      <c r="G29" s="34" t="str">
        <f>總表!A9</f>
        <v>3</v>
      </c>
      <c r="H29" s="34" t="str">
        <f>總表!B9</f>
        <v>5</v>
      </c>
      <c r="I29" s="35" t="str">
        <f>IF(總表!L9="","",總表!L9)</f>
        <v/>
      </c>
    </row>
    <row r="30" spans="1:9">
      <c r="A30" s="34" t="str">
        <f>總表!I20</f>
        <v>第3桌</v>
      </c>
      <c r="B30" s="34" t="str">
        <f>IF(總表!J20="","",總表!J20)</f>
        <v>第3組</v>
      </c>
      <c r="C30" s="34" t="str">
        <f>IF(總表!K20="","",總表!K20)</f>
        <v>組長</v>
      </c>
      <c r="D30" s="35" t="str">
        <f>總表!C20</f>
        <v>宋里安</v>
      </c>
      <c r="E30" s="35" t="str">
        <f>總表!D20</f>
        <v>富予二通訊處</v>
      </c>
      <c r="F30" s="34" t="str">
        <f>總表!E20</f>
        <v>男</v>
      </c>
      <c r="G30" s="34" t="str">
        <f>總表!A20</f>
        <v>8</v>
      </c>
      <c r="H30" s="34" t="str">
        <f>總表!B20</f>
        <v>16</v>
      </c>
      <c r="I30" s="35" t="str">
        <f>IF(總表!L20="","",總表!L20)</f>
        <v/>
      </c>
    </row>
    <row r="31" spans="1:9">
      <c r="A31" s="34" t="str">
        <f>總表!I28</f>
        <v>第3桌</v>
      </c>
      <c r="B31" s="34" t="str">
        <f>IF(總表!J28="","",總表!J28)</f>
        <v>第3組</v>
      </c>
      <c r="C31" s="34" t="str">
        <f>IF(總表!K28="","",總表!K28)</f>
        <v/>
      </c>
      <c r="D31" s="35" t="str">
        <f>總表!C28</f>
        <v>廖冠傑</v>
      </c>
      <c r="E31" s="35" t="str">
        <f>總表!D28</f>
        <v>富吳通訊處</v>
      </c>
      <c r="F31" s="34" t="str">
        <f>總表!E28</f>
        <v>男</v>
      </c>
      <c r="G31" s="34" t="str">
        <f>總表!A28</f>
        <v>12</v>
      </c>
      <c r="H31" s="34" t="str">
        <f>總表!B28</f>
        <v>24</v>
      </c>
      <c r="I31" s="35" t="str">
        <f>IF(總表!L28="","",總表!L28)</f>
        <v/>
      </c>
    </row>
    <row r="32" spans="1:9">
      <c r="A32" s="34" t="str">
        <f>總表!I30</f>
        <v>第3桌</v>
      </c>
      <c r="B32" s="34" t="str">
        <f>IF(總表!J30="","",總表!J30)</f>
        <v>第3組</v>
      </c>
      <c r="C32" s="34" t="str">
        <f>IF(總表!K30="","",總表!K30)</f>
        <v/>
      </c>
      <c r="D32" s="35" t="str">
        <f>總表!C30</f>
        <v>黃金隆</v>
      </c>
      <c r="E32" s="35" t="str">
        <f>總表!D30</f>
        <v>富吳通訊處</v>
      </c>
      <c r="F32" s="34" t="str">
        <f>總表!E30</f>
        <v>男</v>
      </c>
      <c r="G32" s="34" t="str">
        <f>總表!A30</f>
        <v>13</v>
      </c>
      <c r="H32" s="34" t="str">
        <f>總表!B30</f>
        <v>26</v>
      </c>
      <c r="I32" s="35" t="str">
        <f>IF(總表!L30="","",總表!L30)</f>
        <v/>
      </c>
    </row>
    <row r="33" spans="1:9">
      <c r="A33" s="34" t="str">
        <f>總表!I34</f>
        <v>第3桌</v>
      </c>
      <c r="B33" s="34" t="str">
        <f>IF(總表!J34="","",總表!J34)</f>
        <v>第3組</v>
      </c>
      <c r="C33" s="34" t="str">
        <f>IF(總表!K34="","",總表!K34)</f>
        <v/>
      </c>
      <c r="D33" s="35" t="str">
        <f>總表!C34</f>
        <v>陳盈蓁</v>
      </c>
      <c r="E33" s="35" t="str">
        <f>總表!D34</f>
        <v>富吳通訊處</v>
      </c>
      <c r="F33" s="34" t="str">
        <f>總表!E34</f>
        <v>女</v>
      </c>
      <c r="G33" s="34" t="str">
        <f>總表!A34</f>
        <v>15</v>
      </c>
      <c r="H33" s="34" t="str">
        <f>總表!B34</f>
        <v>30</v>
      </c>
      <c r="I33" s="35" t="str">
        <f>IF(總表!L34="","",總表!L34)</f>
        <v/>
      </c>
    </row>
    <row r="34" spans="1:9">
      <c r="A34" s="34" t="str">
        <f>總表!I38</f>
        <v>第3桌</v>
      </c>
      <c r="B34" s="34" t="str">
        <f>IF(總表!J38="","",總表!J38)</f>
        <v>第3組</v>
      </c>
      <c r="C34" s="34" t="str">
        <f>IF(總表!K38="","",總表!K38)</f>
        <v/>
      </c>
      <c r="D34" s="35" t="str">
        <f>總表!C38</f>
        <v>黃彥融</v>
      </c>
      <c r="E34" s="35" t="str">
        <f>總表!D38</f>
        <v>富吳通訊處</v>
      </c>
      <c r="F34" s="34" t="str">
        <f>總表!E38</f>
        <v>男</v>
      </c>
      <c r="G34" s="34" t="str">
        <f>總表!A38</f>
        <v>17</v>
      </c>
      <c r="H34" s="34" t="str">
        <f>總表!B38</f>
        <v>34</v>
      </c>
      <c r="I34" s="35" t="str">
        <f>IF(總表!L38="","",總表!L38)</f>
        <v/>
      </c>
    </row>
    <row r="35" spans="1:9">
      <c r="A35" s="34" t="str">
        <f>總表!I48</f>
        <v>第3桌</v>
      </c>
      <c r="B35" s="34" t="str">
        <f>IF(總表!J48="","",總表!J48)</f>
        <v>第3組</v>
      </c>
      <c r="C35" s="34" t="str">
        <f>IF(總表!K48="","",總表!K48)</f>
        <v/>
      </c>
      <c r="D35" s="35" t="str">
        <f>總表!C48</f>
        <v>林桂安</v>
      </c>
      <c r="E35" s="35" t="str">
        <f>總表!D48</f>
        <v>富則通訊處</v>
      </c>
      <c r="F35" s="34" t="str">
        <f>總表!E48</f>
        <v>女</v>
      </c>
      <c r="G35" s="34" t="str">
        <f>總表!A48</f>
        <v>22</v>
      </c>
      <c r="H35" s="34" t="str">
        <f>總表!B48</f>
        <v>44</v>
      </c>
      <c r="I35" s="35" t="str">
        <f>IF(總表!L48="","",總表!L48)</f>
        <v/>
      </c>
    </row>
    <row r="36" spans="1:9">
      <c r="A36" s="34" t="str">
        <f>總表!I68</f>
        <v>第3桌</v>
      </c>
      <c r="B36" s="34" t="str">
        <f>IF(總表!J68="","",總表!J68)</f>
        <v>第3組</v>
      </c>
      <c r="C36" s="34" t="str">
        <f>IF(總表!K68="","",總表!K68)</f>
        <v/>
      </c>
      <c r="D36" s="35" t="str">
        <f>總表!C68</f>
        <v>王銘宏</v>
      </c>
      <c r="E36" s="35" t="str">
        <f>總表!D68</f>
        <v>富則通訊處</v>
      </c>
      <c r="F36" s="34" t="str">
        <f>總表!E68</f>
        <v>男</v>
      </c>
      <c r="G36" s="34" t="str">
        <f>總表!A68</f>
        <v>32</v>
      </c>
      <c r="H36" s="34" t="str">
        <f>總表!B68</f>
        <v>64</v>
      </c>
      <c r="I36" s="35" t="str">
        <f>IF(總表!L68="","",總表!L68)</f>
        <v/>
      </c>
    </row>
    <row r="37" spans="1:9">
      <c r="A37" s="34" t="str">
        <f>總表!I74</f>
        <v>第3桌</v>
      </c>
      <c r="B37" s="34" t="str">
        <f>IF(總表!J74="","",總表!J74)</f>
        <v>第3組</v>
      </c>
      <c r="C37" s="34" t="str">
        <f>IF(總表!K74="","",總表!K74)</f>
        <v/>
      </c>
      <c r="D37" s="35" t="str">
        <f>總表!C74</f>
        <v>張家瑋</v>
      </c>
      <c r="E37" s="35" t="str">
        <f>總表!D74</f>
        <v>富亨通訊處</v>
      </c>
      <c r="F37" s="34" t="str">
        <f>總表!E74</f>
        <v>男</v>
      </c>
      <c r="G37" s="34" t="str">
        <f>總表!A74</f>
        <v>35</v>
      </c>
      <c r="H37" s="34" t="str">
        <f>總表!B74</f>
        <v>70</v>
      </c>
      <c r="I37" s="35" t="str">
        <f>IF(總表!L74="","",總表!L74)</f>
        <v/>
      </c>
    </row>
    <row r="38" spans="1:9">
      <c r="A38" s="34" t="str">
        <f>總表!I22</f>
        <v>第4桌</v>
      </c>
      <c r="B38" s="34" t="str">
        <f>IF(總表!J22="","",總表!J22)</f>
        <v>第4組</v>
      </c>
      <c r="C38" s="34" t="str">
        <f>IF(總表!K22="","",總表!K22)</f>
        <v/>
      </c>
      <c r="D38" s="35" t="str">
        <f>總表!C22</f>
        <v>高泰琳</v>
      </c>
      <c r="E38" s="35" t="str">
        <f>總表!D22</f>
        <v>富予二通訊處</v>
      </c>
      <c r="F38" s="34" t="str">
        <f>總表!E22</f>
        <v>女</v>
      </c>
      <c r="G38" s="34" t="str">
        <f>總表!A22</f>
        <v>9</v>
      </c>
      <c r="H38" s="34" t="str">
        <f>總表!B22</f>
        <v>18</v>
      </c>
      <c r="I38" s="35" t="str">
        <f>IF(總表!L22="","",總表!L22)</f>
        <v/>
      </c>
    </row>
    <row r="39" spans="1:9">
      <c r="A39" s="34" t="str">
        <f>總表!I25</f>
        <v>第4桌</v>
      </c>
      <c r="B39" s="34" t="str">
        <f>IF(總表!J25="","",總表!J25)</f>
        <v>第4組</v>
      </c>
      <c r="C39" s="34" t="str">
        <f>IF(總表!K25="","",總表!K25)</f>
        <v/>
      </c>
      <c r="D39" s="35" t="str">
        <f>總表!C25</f>
        <v>賴含怡</v>
      </c>
      <c r="E39" s="35" t="str">
        <f>總表!D25</f>
        <v>富則通訊處</v>
      </c>
      <c r="F39" s="34" t="str">
        <f>總表!E25</f>
        <v>女</v>
      </c>
      <c r="G39" s="34" t="str">
        <f>總表!A25</f>
        <v>11</v>
      </c>
      <c r="H39" s="34" t="str">
        <f>總表!B25</f>
        <v>21</v>
      </c>
      <c r="I39" s="35" t="str">
        <f>IF(總表!L25="","",總表!L25)</f>
        <v/>
      </c>
    </row>
    <row r="40" spans="1:9">
      <c r="A40" s="34" t="str">
        <f>總表!I61</f>
        <v>第4桌</v>
      </c>
      <c r="B40" s="34" t="str">
        <f>IF(總表!J61="","",總表!J61)</f>
        <v>第4組</v>
      </c>
      <c r="C40" s="34" t="str">
        <f>IF(總表!K61="","",總表!K61)</f>
        <v/>
      </c>
      <c r="D40" s="35" t="str">
        <f>總表!C61</f>
        <v>吳沛錞</v>
      </c>
      <c r="E40" s="35" t="str">
        <f>總表!D61</f>
        <v>富則通訊處</v>
      </c>
      <c r="F40" s="34" t="str">
        <f>總表!E61</f>
        <v>女</v>
      </c>
      <c r="G40" s="34" t="str">
        <f>總表!A61</f>
        <v>29</v>
      </c>
      <c r="H40" s="34" t="str">
        <f>總表!B61</f>
        <v>57</v>
      </c>
      <c r="I40" s="35" t="str">
        <f>IF(總表!L61="","",總表!L61)</f>
        <v/>
      </c>
    </row>
    <row r="41" spans="1:9">
      <c r="A41" s="34" t="str">
        <f>總表!I66</f>
        <v>第4桌</v>
      </c>
      <c r="B41" s="34" t="str">
        <f>IF(總表!J66="","",總表!J66)</f>
        <v>第4組</v>
      </c>
      <c r="C41" s="34" t="str">
        <f>IF(總表!K66="","",總表!K66)</f>
        <v/>
      </c>
      <c r="D41" s="35" t="str">
        <f>總表!C66</f>
        <v>張國興</v>
      </c>
      <c r="E41" s="35" t="str">
        <f>總表!D66</f>
        <v>富則通訊處</v>
      </c>
      <c r="F41" s="34" t="str">
        <f>總表!E66</f>
        <v>男</v>
      </c>
      <c r="G41" s="34" t="str">
        <f>總表!A66</f>
        <v>31</v>
      </c>
      <c r="H41" s="34" t="str">
        <f>總表!B66</f>
        <v>62</v>
      </c>
      <c r="I41" s="35" t="str">
        <f>IF(總表!L66="","",總表!L66)</f>
        <v/>
      </c>
    </row>
    <row r="42" spans="1:9">
      <c r="A42" s="34" t="str">
        <f>總表!I70</f>
        <v>第4桌</v>
      </c>
      <c r="B42" s="34" t="str">
        <f>IF(總表!J70="","",總表!J70)</f>
        <v>第4組</v>
      </c>
      <c r="C42" s="34" t="str">
        <f>IF(總表!K70="","",總表!K70)</f>
        <v/>
      </c>
      <c r="D42" s="35" t="str">
        <f>總表!C70</f>
        <v>廖宇翔</v>
      </c>
      <c r="E42" s="35" t="str">
        <f>總表!D70</f>
        <v>富則六通訊處</v>
      </c>
      <c r="F42" s="34" t="str">
        <f>總表!E70</f>
        <v>男</v>
      </c>
      <c r="G42" s="34" t="str">
        <f>總表!A70</f>
        <v>33</v>
      </c>
      <c r="H42" s="34" t="str">
        <f>總表!B70</f>
        <v>66</v>
      </c>
      <c r="I42" s="35" t="str">
        <f>IF(總表!L70="","",總表!L70)</f>
        <v/>
      </c>
    </row>
    <row r="43" spans="1:9">
      <c r="A43" s="34" t="str">
        <f>總表!I72</f>
        <v>第4桌</v>
      </c>
      <c r="B43" s="34" t="str">
        <f>IF(總表!J72="","",總表!J72)</f>
        <v>第4組</v>
      </c>
      <c r="C43" s="34" t="str">
        <f>IF(總表!K72="","",總表!K72)</f>
        <v/>
      </c>
      <c r="D43" s="35" t="str">
        <f>總表!C72</f>
        <v>施昕余</v>
      </c>
      <c r="E43" s="35" t="str">
        <f>總表!D72</f>
        <v>中銘通訊處</v>
      </c>
      <c r="F43" s="34" t="str">
        <f>總表!E72</f>
        <v>女</v>
      </c>
      <c r="G43" s="34" t="str">
        <f>總表!A72</f>
        <v>34</v>
      </c>
      <c r="H43" s="34" t="str">
        <f>總表!B72</f>
        <v>68</v>
      </c>
      <c r="I43" s="35" t="str">
        <f>IF(總表!L72="","",總表!L72)</f>
        <v/>
      </c>
    </row>
    <row r="44" spans="1:9">
      <c r="A44" s="34" t="str">
        <f>總表!I77</f>
        <v>第4桌</v>
      </c>
      <c r="B44" s="34" t="str">
        <f>IF(總表!J77="","",總表!J77)</f>
        <v>第4組</v>
      </c>
      <c r="C44" s="34" t="str">
        <f>IF(總表!K77="","",總表!K77)</f>
        <v/>
      </c>
      <c r="D44" s="35" t="str">
        <f>總表!C77</f>
        <v>陳怡萍</v>
      </c>
      <c r="E44" s="35" t="str">
        <f>總表!D77</f>
        <v>富亨通訊處</v>
      </c>
      <c r="F44" s="34" t="str">
        <f>總表!E77</f>
        <v>女</v>
      </c>
      <c r="G44" s="34" t="str">
        <f>總表!A77</f>
        <v>37</v>
      </c>
      <c r="H44" s="34" t="str">
        <f>總表!B77</f>
        <v>73</v>
      </c>
      <c r="I44" s="35" t="str">
        <f>IF(總表!L77="","",總表!L77)</f>
        <v/>
      </c>
    </row>
    <row r="45" spans="1:9">
      <c r="A45" s="34" t="str">
        <f>總表!I83</f>
        <v>第4桌</v>
      </c>
      <c r="B45" s="34" t="str">
        <f>IF(總表!J83="","",總表!J83)</f>
        <v>第4組</v>
      </c>
      <c r="C45" s="34" t="str">
        <f>IF(總表!K83="","",總表!K83)</f>
        <v/>
      </c>
      <c r="D45" s="35" t="str">
        <f>總表!C83</f>
        <v>曾翊雯</v>
      </c>
      <c r="E45" s="35" t="str">
        <f>總表!D83</f>
        <v>中沐通訊處</v>
      </c>
      <c r="F45" s="34" t="str">
        <f>總表!E83</f>
        <v>女</v>
      </c>
      <c r="G45" s="34" t="str">
        <f>總表!A83</f>
        <v>40</v>
      </c>
      <c r="H45" s="34" t="str">
        <f>總表!B83</f>
        <v>79</v>
      </c>
      <c r="I45" s="35" t="str">
        <f>IF(總表!L83="","",總表!L83)</f>
        <v/>
      </c>
    </row>
    <row r="46" spans="1:9">
      <c r="A46" s="34" t="str">
        <f>總表!I87</f>
        <v>第4桌</v>
      </c>
      <c r="B46" s="34" t="str">
        <f>IF(總表!J87="","",總表!J87)</f>
        <v>第4組</v>
      </c>
      <c r="C46" s="34" t="str">
        <f>IF(總表!K87="","",總表!K87)</f>
        <v>組長</v>
      </c>
      <c r="D46" s="35" t="str">
        <f>總表!C87</f>
        <v>范毓斌</v>
      </c>
      <c r="E46" s="35" t="str">
        <f>總表!D87</f>
        <v>富占通訊處</v>
      </c>
      <c r="F46" s="34" t="str">
        <f>總表!E87</f>
        <v>男</v>
      </c>
      <c r="G46" s="34" t="str">
        <f>總表!A87</f>
        <v>42</v>
      </c>
      <c r="H46" s="34" t="str">
        <f>總表!B87</f>
        <v>83</v>
      </c>
      <c r="I46" s="35" t="str">
        <f>IF(總表!L87="","",總表!L87)</f>
        <v/>
      </c>
    </row>
    <row r="47" spans="1:9">
      <c r="A47" s="34" t="str">
        <f>總表!I17</f>
        <v>第5桌</v>
      </c>
      <c r="B47" s="34" t="str">
        <f>IF(總表!J17="","",總表!J17)</f>
        <v>第5組</v>
      </c>
      <c r="C47" s="34" t="str">
        <f>IF(總表!K17="","",總表!K17)</f>
        <v/>
      </c>
      <c r="D47" s="35" t="str">
        <f>總表!C17</f>
        <v>陳武均</v>
      </c>
      <c r="E47" s="35" t="str">
        <f>總表!D17</f>
        <v>富予二通訊處</v>
      </c>
      <c r="F47" s="34" t="str">
        <f>總表!E17</f>
        <v>男</v>
      </c>
      <c r="G47" s="34" t="str">
        <f>總表!A17</f>
        <v>7</v>
      </c>
      <c r="H47" s="34" t="str">
        <f>總表!B17</f>
        <v>13</v>
      </c>
      <c r="I47" s="35" t="str">
        <f>IF(總表!L17="","",總表!L17)</f>
        <v/>
      </c>
    </row>
    <row r="48" spans="1:9">
      <c r="A48" s="34" t="str">
        <f>總表!I18</f>
        <v>第5桌</v>
      </c>
      <c r="B48" s="34" t="str">
        <f>IF(總表!J18="","",總表!J18)</f>
        <v>第5組</v>
      </c>
      <c r="C48" s="34" t="str">
        <f>IF(總表!K18="","",總表!K18)</f>
        <v/>
      </c>
      <c r="D48" s="35" t="str">
        <f>總表!C18</f>
        <v>陳尚禾</v>
      </c>
      <c r="E48" s="35" t="str">
        <f>總表!D18</f>
        <v>富予二通訊處</v>
      </c>
      <c r="F48" s="34" t="str">
        <f>總表!E18</f>
        <v>男</v>
      </c>
      <c r="G48" s="34" t="str">
        <f>總表!A18</f>
        <v>7</v>
      </c>
      <c r="H48" s="34" t="str">
        <f>總表!B18</f>
        <v>14</v>
      </c>
      <c r="I48" s="35" t="str">
        <f>IF(總表!L18="","",總表!L18)</f>
        <v/>
      </c>
    </row>
    <row r="49" spans="1:9">
      <c r="A49" s="34" t="str">
        <f>總表!I27</f>
        <v>第5桌</v>
      </c>
      <c r="B49" s="34" t="str">
        <f>IF(總表!J27="","",總表!J27)</f>
        <v>第5組</v>
      </c>
      <c r="C49" s="34" t="str">
        <f>IF(總表!K27="","",總表!K27)</f>
        <v/>
      </c>
      <c r="D49" s="35" t="str">
        <f>總表!C27</f>
        <v>王鄆郅</v>
      </c>
      <c r="E49" s="35" t="str">
        <f>總表!D27</f>
        <v>富吳通訊處</v>
      </c>
      <c r="F49" s="34" t="str">
        <f>總表!E27</f>
        <v>男</v>
      </c>
      <c r="G49" s="34" t="str">
        <f>總表!A27</f>
        <v>12</v>
      </c>
      <c r="H49" s="34" t="str">
        <f>總表!B27</f>
        <v>23</v>
      </c>
      <c r="I49" s="35" t="str">
        <f>IF(總表!L27="","",總表!L27)</f>
        <v/>
      </c>
    </row>
    <row r="50" spans="1:9">
      <c r="A50" s="34" t="str">
        <f>總表!I33</f>
        <v>第5桌</v>
      </c>
      <c r="B50" s="34" t="str">
        <f>IF(總表!J33="","",總表!J33)</f>
        <v>第5組</v>
      </c>
      <c r="C50" s="34" t="str">
        <f>IF(總表!K33="","",總表!K33)</f>
        <v/>
      </c>
      <c r="D50" s="35" t="str">
        <f>總表!C33</f>
        <v>彭莉柔</v>
      </c>
      <c r="E50" s="35" t="str">
        <f>總表!D33</f>
        <v>富吳通訊處</v>
      </c>
      <c r="F50" s="34" t="str">
        <f>總表!E33</f>
        <v>女</v>
      </c>
      <c r="G50" s="34" t="str">
        <f>總表!A33</f>
        <v>15</v>
      </c>
      <c r="H50" s="34" t="str">
        <f>總表!B33</f>
        <v>29</v>
      </c>
      <c r="I50" s="35" t="str">
        <f>IF(總表!L33="","",總表!L33)</f>
        <v/>
      </c>
    </row>
    <row r="51" spans="1:9">
      <c r="A51" s="34" t="str">
        <f>總表!I47</f>
        <v>第5桌</v>
      </c>
      <c r="B51" s="34" t="str">
        <f>IF(總表!J47="","",總表!J47)</f>
        <v>第5組</v>
      </c>
      <c r="C51" s="34" t="str">
        <f>IF(總表!K47="","",總表!K47)</f>
        <v/>
      </c>
      <c r="D51" s="35" t="str">
        <f>總表!C47</f>
        <v>管卓鈞</v>
      </c>
      <c r="E51" s="35" t="str">
        <f>總表!D47</f>
        <v>富能通訊處</v>
      </c>
      <c r="F51" s="34" t="str">
        <f>總表!E47</f>
        <v>女</v>
      </c>
      <c r="G51" s="34" t="str">
        <f>總表!A47</f>
        <v>22</v>
      </c>
      <c r="H51" s="34" t="str">
        <f>總表!B47</f>
        <v>43</v>
      </c>
      <c r="I51" s="35" t="str">
        <f>IF(總表!L47="","",總表!L47)</f>
        <v/>
      </c>
    </row>
    <row r="52" spans="1:9">
      <c r="A52" s="34" t="str">
        <f>總表!I58</f>
        <v>第5桌</v>
      </c>
      <c r="B52" s="34" t="str">
        <f>IF(總表!J58="","",總表!J58)</f>
        <v>第5組</v>
      </c>
      <c r="C52" s="34" t="str">
        <f>IF(總表!K58="","",總表!K58)</f>
        <v/>
      </c>
      <c r="D52" s="35" t="str">
        <f>總表!C58</f>
        <v>林芳誼</v>
      </c>
      <c r="E52" s="35" t="str">
        <f>總表!D58</f>
        <v>富則通訊處</v>
      </c>
      <c r="F52" s="34" t="str">
        <f>總表!E58</f>
        <v>女</v>
      </c>
      <c r="G52" s="34" t="str">
        <f>總表!A58</f>
        <v>27</v>
      </c>
      <c r="H52" s="34" t="str">
        <f>總表!B58</f>
        <v>54</v>
      </c>
      <c r="I52" s="35" t="str">
        <f>IF(總表!L58="","",總表!L58)</f>
        <v/>
      </c>
    </row>
    <row r="53" spans="1:9">
      <c r="A53" s="34" t="str">
        <f>總表!I63</f>
        <v>第5桌</v>
      </c>
      <c r="B53" s="34" t="str">
        <f>IF(總表!J63="","",總表!J63)</f>
        <v>第5組</v>
      </c>
      <c r="C53" s="34" t="str">
        <f>IF(總表!K63="","",總表!K63)</f>
        <v>組長</v>
      </c>
      <c r="D53" s="35" t="str">
        <f>總表!C63</f>
        <v>李孟珊</v>
      </c>
      <c r="E53" s="35" t="str">
        <f>總表!D63</f>
        <v>富則通訊處</v>
      </c>
      <c r="F53" s="34" t="str">
        <f>總表!E63</f>
        <v>女</v>
      </c>
      <c r="G53" s="34" t="str">
        <f>總表!A63</f>
        <v>30</v>
      </c>
      <c r="H53" s="34" t="str">
        <f>總表!B63</f>
        <v>59</v>
      </c>
      <c r="I53" s="35" t="str">
        <f>IF(總表!L63="","",總表!L63)</f>
        <v/>
      </c>
    </row>
    <row r="54" spans="1:9">
      <c r="A54" s="34" t="str">
        <f>總表!I64</f>
        <v>第5桌</v>
      </c>
      <c r="B54" s="34" t="str">
        <f>IF(總表!J64="","",總表!J64)</f>
        <v>第5組</v>
      </c>
      <c r="C54" s="34" t="str">
        <f>IF(總表!K64="","",總表!K64)</f>
        <v/>
      </c>
      <c r="D54" s="35" t="str">
        <f>總表!C64</f>
        <v>黃馨葦</v>
      </c>
      <c r="E54" s="35" t="str">
        <f>總表!D64</f>
        <v>富則通訊處</v>
      </c>
      <c r="F54" s="34" t="str">
        <f>總表!E64</f>
        <v>女</v>
      </c>
      <c r="G54" s="34" t="str">
        <f>總表!A64</f>
        <v>30</v>
      </c>
      <c r="H54" s="34" t="str">
        <f>總表!B64</f>
        <v>60</v>
      </c>
      <c r="I54" s="35" t="str">
        <f>IF(總表!L64="","",總表!L64)</f>
        <v/>
      </c>
    </row>
    <row r="55" spans="1:9">
      <c r="A55" s="34" t="str">
        <f>總表!I88</f>
        <v>第5桌</v>
      </c>
      <c r="B55" s="34" t="str">
        <f>IF(總表!J88="","",總表!J88)</f>
        <v>第5組</v>
      </c>
      <c r="C55" s="34" t="str">
        <f>IF(總表!K88="","",總表!K88)</f>
        <v/>
      </c>
      <c r="D55" s="35" t="str">
        <f>總表!C88</f>
        <v>邱仲恩</v>
      </c>
      <c r="E55" s="35" t="str">
        <f>總表!D88</f>
        <v>富吳通訊處</v>
      </c>
      <c r="F55" s="34" t="str">
        <f>總表!E88</f>
        <v>男</v>
      </c>
      <c r="G55" s="34" t="str">
        <f>總表!A88</f>
        <v>43</v>
      </c>
      <c r="H55" s="34" t="str">
        <f>總表!B88</f>
        <v>84</v>
      </c>
      <c r="I55" s="35" t="str">
        <f>IF(總表!L88="","",總表!L88)</f>
        <v/>
      </c>
    </row>
    <row r="56" spans="1:9">
      <c r="A56" s="34" t="str">
        <f>總表!I6</f>
        <v>第6桌</v>
      </c>
      <c r="B56" s="34" t="str">
        <f>IF(總表!J6="","",總表!J6)</f>
        <v>第6組</v>
      </c>
      <c r="C56" s="34" t="str">
        <f>IF(總表!K6="","",總表!K6)</f>
        <v/>
      </c>
      <c r="D56" s="35" t="str">
        <f>總表!C6</f>
        <v>謝政男</v>
      </c>
      <c r="E56" s="35" t="str">
        <f>總表!D6</f>
        <v>高天通訊處</v>
      </c>
      <c r="F56" s="34" t="str">
        <f>總表!E6</f>
        <v>男</v>
      </c>
      <c r="G56" s="34" t="str">
        <f>總表!A6</f>
        <v>1</v>
      </c>
      <c r="H56" s="34" t="str">
        <f>總表!B6</f>
        <v>2</v>
      </c>
      <c r="I56" s="35" t="str">
        <f>IF(總表!L6="","",總表!L6)</f>
        <v/>
      </c>
    </row>
    <row r="57" spans="1:9">
      <c r="A57" s="34" t="str">
        <f>總表!I23</f>
        <v>第6桌</v>
      </c>
      <c r="B57" s="34" t="str">
        <f>IF(總表!J23="","",總表!J23)</f>
        <v>第6組</v>
      </c>
      <c r="C57" s="34" t="str">
        <f>IF(總表!K23="","",總表!K23)</f>
        <v/>
      </c>
      <c r="D57" s="35" t="str">
        <f>總表!C23</f>
        <v>許瓊云</v>
      </c>
      <c r="E57" s="35" t="str">
        <f>總表!D23</f>
        <v>富予二通訊處</v>
      </c>
      <c r="F57" s="34" t="str">
        <f>總表!E23</f>
        <v>女</v>
      </c>
      <c r="G57" s="34" t="str">
        <f>總表!A23</f>
        <v>10</v>
      </c>
      <c r="H57" s="34" t="str">
        <f>總表!B23</f>
        <v>19</v>
      </c>
      <c r="I57" s="35" t="str">
        <f>IF(總表!L23="","",總表!L23)</f>
        <v/>
      </c>
    </row>
    <row r="58" spans="1:9">
      <c r="A58" s="34" t="str">
        <f>總表!I36</f>
        <v>第6桌</v>
      </c>
      <c r="B58" s="34" t="str">
        <f>IF(總表!J36="","",總表!J36)</f>
        <v>第6組</v>
      </c>
      <c r="C58" s="34" t="str">
        <f>IF(總表!K36="","",總表!K36)</f>
        <v/>
      </c>
      <c r="D58" s="35" t="str">
        <f>總表!C36</f>
        <v>林建璋</v>
      </c>
      <c r="E58" s="35" t="str">
        <f>總表!D36</f>
        <v>富吳通訊處</v>
      </c>
      <c r="F58" s="34" t="str">
        <f>總表!E36</f>
        <v>男</v>
      </c>
      <c r="G58" s="34" t="str">
        <f>總表!A36</f>
        <v>16</v>
      </c>
      <c r="H58" s="34" t="str">
        <f>總表!B36</f>
        <v>32</v>
      </c>
      <c r="I58" s="35" t="str">
        <f>IF(總表!L36="","",總表!L36)</f>
        <v/>
      </c>
    </row>
    <row r="59" spans="1:9">
      <c r="A59" s="34" t="str">
        <f>總表!I43</f>
        <v>第6桌</v>
      </c>
      <c r="B59" s="34" t="str">
        <f>IF(總表!J43="","",總表!J43)</f>
        <v>第6組</v>
      </c>
      <c r="C59" s="34" t="str">
        <f>IF(總表!K43="","",總表!K43)</f>
        <v/>
      </c>
      <c r="D59" s="35" t="str">
        <f>總表!C43</f>
        <v>許嘉晉</v>
      </c>
      <c r="E59" s="35" t="str">
        <f>總表!D43</f>
        <v>富則通訊處</v>
      </c>
      <c r="F59" s="34" t="str">
        <f>總表!E43</f>
        <v>男</v>
      </c>
      <c r="G59" s="34" t="str">
        <f>總表!A43</f>
        <v>20</v>
      </c>
      <c r="H59" s="34" t="str">
        <f>總表!B43</f>
        <v>39</v>
      </c>
      <c r="I59" s="35" t="str">
        <f>IF(總表!L43="","",總表!L43)</f>
        <v/>
      </c>
    </row>
    <row r="60" spans="1:9">
      <c r="A60" s="34" t="str">
        <f>總表!I53</f>
        <v>第6桌</v>
      </c>
      <c r="B60" s="34" t="str">
        <f>IF(總表!J53="","",總表!J53)</f>
        <v>第6組</v>
      </c>
      <c r="C60" s="34" t="str">
        <f>IF(總表!K53="","",總表!K53)</f>
        <v/>
      </c>
      <c r="D60" s="35" t="str">
        <f>總表!C53</f>
        <v>鍾怡婷</v>
      </c>
      <c r="E60" s="35" t="str">
        <f>總表!D53</f>
        <v>富占通訊處</v>
      </c>
      <c r="F60" s="34" t="str">
        <f>總表!E53</f>
        <v>女</v>
      </c>
      <c r="G60" s="34" t="str">
        <f>總表!A53</f>
        <v>25</v>
      </c>
      <c r="H60" s="34" t="str">
        <f>總表!B53</f>
        <v>49</v>
      </c>
      <c r="I60" s="35" t="str">
        <f>IF(總表!L53="","",總表!L53)</f>
        <v/>
      </c>
    </row>
    <row r="61" spans="1:9">
      <c r="A61" s="34" t="str">
        <f>總表!I57</f>
        <v>第6桌</v>
      </c>
      <c r="B61" s="34" t="str">
        <f>IF(總表!J57="","",總表!J57)</f>
        <v>第6組</v>
      </c>
      <c r="C61" s="34" t="str">
        <f>IF(總表!K57="","",總表!K57)</f>
        <v/>
      </c>
      <c r="D61" s="35" t="str">
        <f>總表!C57</f>
        <v>吳品萱</v>
      </c>
      <c r="E61" s="35" t="str">
        <f>總表!D57</f>
        <v>富則通訊處</v>
      </c>
      <c r="F61" s="34" t="str">
        <f>總表!E57</f>
        <v>女</v>
      </c>
      <c r="G61" s="34" t="str">
        <f>總表!A57</f>
        <v>27</v>
      </c>
      <c r="H61" s="34" t="str">
        <f>總表!B57</f>
        <v>53</v>
      </c>
      <c r="I61" s="35" t="str">
        <f>IF(總表!L57="","",總表!L57)</f>
        <v/>
      </c>
    </row>
    <row r="62" spans="1:9">
      <c r="A62" s="34" t="str">
        <f>總表!I69</f>
        <v>第6桌</v>
      </c>
      <c r="B62" s="34" t="str">
        <f>IF(總表!J69="","",總表!J69)</f>
        <v>第6組</v>
      </c>
      <c r="C62" s="34" t="str">
        <f>IF(總表!K69="","",總表!K69)</f>
        <v>組長</v>
      </c>
      <c r="D62" s="35" t="str">
        <f>總表!C69</f>
        <v>洪敬忠</v>
      </c>
      <c r="E62" s="35" t="str">
        <f>總表!D69</f>
        <v>富則六通訊處</v>
      </c>
      <c r="F62" s="34" t="str">
        <f>總表!E69</f>
        <v>男</v>
      </c>
      <c r="G62" s="34" t="str">
        <f>總表!A69</f>
        <v>33</v>
      </c>
      <c r="H62" s="34" t="str">
        <f>總表!B69</f>
        <v>65</v>
      </c>
      <c r="I62" s="35" t="str">
        <f>IF(總表!L69="","",總表!L69)</f>
        <v/>
      </c>
    </row>
    <row r="63" spans="1:9">
      <c r="A63" s="34" t="str">
        <f>總表!I76</f>
        <v>第6桌</v>
      </c>
      <c r="B63" s="34" t="str">
        <f>IF(總表!J76="","",總表!J76)</f>
        <v>第6組</v>
      </c>
      <c r="C63" s="34" t="str">
        <f>IF(總表!K76="","",總表!K76)</f>
        <v/>
      </c>
      <c r="D63" s="35" t="str">
        <f>總表!C76</f>
        <v>林宏威</v>
      </c>
      <c r="E63" s="35" t="str">
        <f>總表!D76</f>
        <v>富亨通訊處</v>
      </c>
      <c r="F63" s="34" t="str">
        <f>總表!E76</f>
        <v>男</v>
      </c>
      <c r="G63" s="34" t="str">
        <f>總表!A76</f>
        <v>36</v>
      </c>
      <c r="H63" s="34" t="str">
        <f>總表!B76</f>
        <v>72</v>
      </c>
      <c r="I63" s="35" t="str">
        <f>IF(總表!L76="","",總表!L76)</f>
        <v/>
      </c>
    </row>
    <row r="64" spans="1:9">
      <c r="A64" s="34" t="str">
        <f>總表!I79</f>
        <v>第6桌</v>
      </c>
      <c r="B64" s="34" t="str">
        <f>IF(總表!J79="","",總表!J79)</f>
        <v>第6組</v>
      </c>
      <c r="C64" s="34" t="str">
        <f>IF(總表!K79="","",總表!K79)</f>
        <v/>
      </c>
      <c r="D64" s="35" t="str">
        <f>總表!C79</f>
        <v>陳龍生</v>
      </c>
      <c r="E64" s="35" t="str">
        <f>總表!D79</f>
        <v>富鑽通訊處</v>
      </c>
      <c r="F64" s="34" t="str">
        <f>總表!E79</f>
        <v>男</v>
      </c>
      <c r="G64" s="34" t="str">
        <f>總表!A79</f>
        <v>38</v>
      </c>
      <c r="H64" s="34" t="str">
        <f>總表!B79</f>
        <v>75</v>
      </c>
      <c r="I64" s="35" t="str">
        <f>IF(總表!L79="","",總表!L79)</f>
        <v/>
      </c>
    </row>
    <row r="65" spans="1:9">
      <c r="A65" s="34" t="str">
        <f>總表!I12</f>
        <v>第7桌</v>
      </c>
      <c r="B65" s="34" t="str">
        <f>IF(總表!J12="","",總表!J12)</f>
        <v>第7組</v>
      </c>
      <c r="C65" s="34" t="str">
        <f>IF(總表!K12="","",總表!K12)</f>
        <v/>
      </c>
      <c r="D65" s="35" t="str">
        <f>總表!C12</f>
        <v>詹政杰</v>
      </c>
      <c r="E65" s="35" t="str">
        <f>總表!D12</f>
        <v>高天通訊處</v>
      </c>
      <c r="F65" s="34" t="str">
        <f>總表!E12</f>
        <v>男</v>
      </c>
      <c r="G65" s="34" t="str">
        <f>總表!A12</f>
        <v>4</v>
      </c>
      <c r="H65" s="34" t="str">
        <f>總表!B12</f>
        <v>8</v>
      </c>
      <c r="I65" s="35" t="str">
        <f>IF(總表!L12="","",總表!L12)</f>
        <v/>
      </c>
    </row>
    <row r="66" spans="1:9">
      <c r="A66" s="34" t="str">
        <f>總表!I14</f>
        <v>第7桌</v>
      </c>
      <c r="B66" s="34" t="str">
        <f>IF(總表!J14="","",總表!J14)</f>
        <v>第7組</v>
      </c>
      <c r="C66" s="34" t="str">
        <f>IF(總表!K14="","",總表!K14)</f>
        <v/>
      </c>
      <c r="D66" s="35" t="str">
        <f>總表!C14</f>
        <v>陳懷柔</v>
      </c>
      <c r="E66" s="35" t="str">
        <f>總表!D14</f>
        <v>高天通訊處</v>
      </c>
      <c r="F66" s="34" t="str">
        <f>總表!E14</f>
        <v>女</v>
      </c>
      <c r="G66" s="34" t="str">
        <f>總表!A14</f>
        <v>5</v>
      </c>
      <c r="H66" s="34" t="str">
        <f>總表!B14</f>
        <v>10</v>
      </c>
      <c r="I66" s="35" t="str">
        <f>IF(總表!L14="","",總表!L14)</f>
        <v/>
      </c>
    </row>
    <row r="67" spans="1:9">
      <c r="A67" s="34" t="str">
        <f>總表!I19</f>
        <v>第7桌</v>
      </c>
      <c r="B67" s="34" t="str">
        <f>IF(總表!J19="","",總表!J19)</f>
        <v>第7組</v>
      </c>
      <c r="C67" s="34" t="str">
        <f>IF(總表!K19="","",總表!K19)</f>
        <v>組長</v>
      </c>
      <c r="D67" s="35" t="str">
        <f>總表!C19</f>
        <v>陳昶聿</v>
      </c>
      <c r="E67" s="35" t="str">
        <f>總表!D19</f>
        <v>富予二通訊處</v>
      </c>
      <c r="F67" s="34" t="str">
        <f>總表!E19</f>
        <v>男</v>
      </c>
      <c r="G67" s="34" t="str">
        <f>總表!A19</f>
        <v>8</v>
      </c>
      <c r="H67" s="34" t="str">
        <f>總表!B19</f>
        <v>15</v>
      </c>
      <c r="I67" s="35" t="str">
        <f>IF(總表!L19="","",總表!L19)</f>
        <v/>
      </c>
    </row>
    <row r="68" spans="1:9">
      <c r="A68" s="34" t="str">
        <f>總表!I35</f>
        <v>第7桌</v>
      </c>
      <c r="B68" s="34" t="str">
        <f>IF(總表!J35="","",總表!J35)</f>
        <v>第7組</v>
      </c>
      <c r="C68" s="34" t="str">
        <f>IF(總表!K35="","",總表!K35)</f>
        <v/>
      </c>
      <c r="D68" s="35" t="str">
        <f>總表!C35</f>
        <v>周易慶</v>
      </c>
      <c r="E68" s="35" t="str">
        <f>總表!D35</f>
        <v>富吳通訊處</v>
      </c>
      <c r="F68" s="34" t="str">
        <f>總表!E35</f>
        <v>男</v>
      </c>
      <c r="G68" s="34" t="str">
        <f>總表!A35</f>
        <v>16</v>
      </c>
      <c r="H68" s="34" t="str">
        <f>總表!B35</f>
        <v>31</v>
      </c>
      <c r="I68" s="35" t="str">
        <f>IF(總表!L35="","",總表!L35)</f>
        <v/>
      </c>
    </row>
    <row r="69" spans="1:9">
      <c r="A69" s="34" t="str">
        <f>總表!I40</f>
        <v>第7桌</v>
      </c>
      <c r="B69" s="34" t="str">
        <f>IF(總表!J40="","",總表!J40)</f>
        <v>第7組</v>
      </c>
      <c r="C69" s="34" t="str">
        <f>IF(總表!K40="","",總表!K40)</f>
        <v/>
      </c>
      <c r="D69" s="35" t="str">
        <f>總表!C40</f>
        <v>謝宇軒</v>
      </c>
      <c r="E69" s="35" t="str">
        <f>總表!D40</f>
        <v>富吳通訊處</v>
      </c>
      <c r="F69" s="34" t="str">
        <f>總表!E40</f>
        <v>男</v>
      </c>
      <c r="G69" s="34" t="str">
        <f>總表!A40</f>
        <v>18</v>
      </c>
      <c r="H69" s="34" t="str">
        <f>總表!B40</f>
        <v>36</v>
      </c>
      <c r="I69" s="35" t="str">
        <f>IF(總表!L40="","",總表!L40)</f>
        <v/>
      </c>
    </row>
    <row r="70" spans="1:9">
      <c r="A70" s="34" t="str">
        <f>總表!I41</f>
        <v>第7桌</v>
      </c>
      <c r="B70" s="34" t="str">
        <f>IF(總表!J41="","",總表!J41)</f>
        <v>第7組</v>
      </c>
      <c r="C70" s="34" t="str">
        <f>IF(總表!K41="","",總表!K41)</f>
        <v/>
      </c>
      <c r="D70" s="35" t="str">
        <f>總表!C41</f>
        <v>戴孜安</v>
      </c>
      <c r="E70" s="35" t="str">
        <f>總表!D41</f>
        <v>富吳通訊處</v>
      </c>
      <c r="F70" s="34" t="str">
        <f>總表!E41</f>
        <v>女</v>
      </c>
      <c r="G70" s="34" t="str">
        <f>總表!A41</f>
        <v>19</v>
      </c>
      <c r="H70" s="34" t="str">
        <f>總表!B41</f>
        <v>37</v>
      </c>
      <c r="I70" s="35" t="str">
        <f>IF(總表!L41="","",總表!L41)</f>
        <v/>
      </c>
    </row>
    <row r="71" spans="1:9">
      <c r="A71" s="34" t="str">
        <f>總表!I49</f>
        <v>第7桌</v>
      </c>
      <c r="B71" s="34" t="str">
        <f>IF(總表!J49="","",總表!J49)</f>
        <v>第7組</v>
      </c>
      <c r="C71" s="34" t="str">
        <f>IF(總表!K49="","",總表!K49)</f>
        <v/>
      </c>
      <c r="D71" s="35" t="str">
        <f>總表!C49</f>
        <v>簡姵萱</v>
      </c>
      <c r="E71" s="35" t="str">
        <f>總表!D49</f>
        <v>富能通訊處</v>
      </c>
      <c r="F71" s="34" t="str">
        <f>總表!E49</f>
        <v>女</v>
      </c>
      <c r="G71" s="34" t="str">
        <f>總表!A49</f>
        <v>23</v>
      </c>
      <c r="H71" s="34" t="str">
        <f>總表!B49</f>
        <v>45</v>
      </c>
      <c r="I71" s="35" t="str">
        <f>IF(總表!L49="","",總表!L49)</f>
        <v/>
      </c>
    </row>
    <row r="72" spans="1:9">
      <c r="A72" s="34" t="str">
        <f>總表!I60</f>
        <v>第7桌</v>
      </c>
      <c r="B72" s="34" t="str">
        <f>IF(總表!J60="","",總表!J60)</f>
        <v>第7組</v>
      </c>
      <c r="C72" s="34" t="str">
        <f>IF(總表!K60="","",總表!K60)</f>
        <v/>
      </c>
      <c r="D72" s="35" t="str">
        <f>總表!C60</f>
        <v>余若馨</v>
      </c>
      <c r="E72" s="35" t="str">
        <f>總表!D60</f>
        <v>富則通訊處</v>
      </c>
      <c r="F72" s="34" t="str">
        <f>總表!E60</f>
        <v>女</v>
      </c>
      <c r="G72" s="34" t="str">
        <f>總表!A60</f>
        <v>28</v>
      </c>
      <c r="H72" s="34" t="str">
        <f>總表!B60</f>
        <v>56</v>
      </c>
      <c r="I72" s="35" t="str">
        <f>IF(總表!L60="","",總表!L60)</f>
        <v/>
      </c>
    </row>
    <row r="73" spans="1:9">
      <c r="A73" s="34" t="str">
        <f>總表!I81</f>
        <v>第7桌</v>
      </c>
      <c r="B73" s="34" t="str">
        <f>IF(總表!J81="","",總表!J81)</f>
        <v>第7組</v>
      </c>
      <c r="C73" s="34" t="str">
        <f>IF(總表!K81="","",總表!K81)</f>
        <v/>
      </c>
      <c r="D73" s="35" t="str">
        <f>總表!C81</f>
        <v>吳士侃</v>
      </c>
      <c r="E73" s="35" t="str">
        <f>總表!D81</f>
        <v>富北通訊處</v>
      </c>
      <c r="F73" s="34" t="str">
        <f>總表!E81</f>
        <v>男</v>
      </c>
      <c r="G73" s="34" t="str">
        <f>總表!A81</f>
        <v>39</v>
      </c>
      <c r="H73" s="34" t="str">
        <f>總表!B81</f>
        <v>77</v>
      </c>
      <c r="I73" s="35" t="str">
        <f>IF(總表!L81="","",總表!L81)</f>
        <v/>
      </c>
    </row>
    <row r="74" spans="1:9">
      <c r="A74" s="34" t="str">
        <f>總表!I10</f>
        <v>第8桌</v>
      </c>
      <c r="B74" s="34" t="str">
        <f>IF(總表!J10="","",總表!J10)</f>
        <v>第8組</v>
      </c>
      <c r="C74" s="34" t="str">
        <f>IF(總表!K10="","",總表!K10)</f>
        <v/>
      </c>
      <c r="D74" s="35" t="str">
        <f>總表!C10</f>
        <v>何宜庭</v>
      </c>
      <c r="E74" s="35" t="str">
        <f>總表!D10</f>
        <v>高天通訊處</v>
      </c>
      <c r="F74" s="34" t="str">
        <f>總表!E10</f>
        <v>女</v>
      </c>
      <c r="G74" s="34" t="str">
        <f>總表!A10</f>
        <v>3</v>
      </c>
      <c r="H74" s="34" t="str">
        <f>總表!B10</f>
        <v>6</v>
      </c>
      <c r="I74" s="35" t="str">
        <f>IF(總表!L10="","",總表!L10)</f>
        <v/>
      </c>
    </row>
    <row r="75" spans="1:9">
      <c r="A75" s="34" t="str">
        <f>總表!I31</f>
        <v>第8桌</v>
      </c>
      <c r="B75" s="34" t="str">
        <f>IF(總表!J31="","",總表!J31)</f>
        <v>第8組</v>
      </c>
      <c r="C75" s="34" t="str">
        <f>IF(總表!K31="","",總表!K31)</f>
        <v/>
      </c>
      <c r="D75" s="35" t="str">
        <f>總表!C31</f>
        <v>呂顏伃</v>
      </c>
      <c r="E75" s="35" t="str">
        <f>總表!D31</f>
        <v>富吳通訊處</v>
      </c>
      <c r="F75" s="34" t="str">
        <f>總表!E31</f>
        <v>女</v>
      </c>
      <c r="G75" s="34" t="str">
        <f>總表!A31</f>
        <v>14</v>
      </c>
      <c r="H75" s="34" t="str">
        <f>總表!B31</f>
        <v>27</v>
      </c>
      <c r="I75" s="35" t="str">
        <f>IF(總表!L31="","",總表!L31)</f>
        <v/>
      </c>
    </row>
    <row r="76" spans="1:9">
      <c r="A76" s="34" t="str">
        <f>總表!I32</f>
        <v>第8桌</v>
      </c>
      <c r="B76" s="34" t="str">
        <f>IF(總表!J32="","",總表!J32)</f>
        <v>第8組</v>
      </c>
      <c r="C76" s="34" t="str">
        <f>IF(總表!K32="","",總表!K32)</f>
        <v/>
      </c>
      <c r="D76" s="35" t="str">
        <f>總表!C32</f>
        <v>陳怡諳</v>
      </c>
      <c r="E76" s="35" t="str">
        <f>總表!D32</f>
        <v>富吳通訊處</v>
      </c>
      <c r="F76" s="34" t="str">
        <f>總表!E32</f>
        <v>女</v>
      </c>
      <c r="G76" s="34" t="str">
        <f>總表!A32</f>
        <v>14</v>
      </c>
      <c r="H76" s="34" t="str">
        <f>總表!B32</f>
        <v>28</v>
      </c>
      <c r="I76" s="35" t="str">
        <f>IF(總表!L32="","",總表!L32)</f>
        <v/>
      </c>
    </row>
    <row r="77" spans="1:9">
      <c r="A77" s="34" t="str">
        <f>總表!I37</f>
        <v>第8桌</v>
      </c>
      <c r="B77" s="34" t="str">
        <f>IF(總表!J37="","",總表!J37)</f>
        <v>第8組</v>
      </c>
      <c r="C77" s="34" t="str">
        <f>IF(總表!K37="","",總表!K37)</f>
        <v/>
      </c>
      <c r="D77" s="35" t="str">
        <f>總表!C37</f>
        <v>李奕寬</v>
      </c>
      <c r="E77" s="35" t="str">
        <f>總表!D37</f>
        <v>富吳通訊處</v>
      </c>
      <c r="F77" s="34" t="str">
        <f>總表!E37</f>
        <v>男</v>
      </c>
      <c r="G77" s="34" t="str">
        <f>總表!A37</f>
        <v>17</v>
      </c>
      <c r="H77" s="34" t="str">
        <f>總表!B37</f>
        <v>33</v>
      </c>
      <c r="I77" s="35" t="str">
        <f>IF(總表!L37="","",總表!L37)</f>
        <v/>
      </c>
    </row>
    <row r="78" spans="1:9">
      <c r="A78" s="34" t="str">
        <f>總表!I50</f>
        <v>第8桌</v>
      </c>
      <c r="B78" s="34" t="str">
        <f>IF(總表!J50="","",總表!J50)</f>
        <v>第8組</v>
      </c>
      <c r="C78" s="34" t="str">
        <f>IF(總表!K50="","",總表!K50)</f>
        <v/>
      </c>
      <c r="D78" s="35" t="str">
        <f>總表!C50</f>
        <v>潘韻竹</v>
      </c>
      <c r="E78" s="35" t="str">
        <f>總表!D50</f>
        <v>富則通訊處</v>
      </c>
      <c r="F78" s="34" t="str">
        <f>總表!E50</f>
        <v>女</v>
      </c>
      <c r="G78" s="34" t="str">
        <f>總表!A50</f>
        <v>23</v>
      </c>
      <c r="H78" s="34" t="str">
        <f>總表!B50</f>
        <v>46</v>
      </c>
      <c r="I78" s="35" t="str">
        <f>IF(總表!L50="","",總表!L50)</f>
        <v/>
      </c>
    </row>
    <row r="79" spans="1:9">
      <c r="A79" s="34" t="str">
        <f>總表!I51</f>
        <v>第8桌</v>
      </c>
      <c r="B79" s="34" t="str">
        <f>IF(總表!J51="","",總表!J51)</f>
        <v>第8組</v>
      </c>
      <c r="C79" s="34" t="str">
        <f>IF(總表!K51="","",總表!K51)</f>
        <v/>
      </c>
      <c r="D79" s="35" t="str">
        <f>總表!C51</f>
        <v>傅佳旻</v>
      </c>
      <c r="E79" s="35" t="str">
        <f>總表!D51</f>
        <v>富占通訊處</v>
      </c>
      <c r="F79" s="34" t="str">
        <f>總表!E51</f>
        <v>女</v>
      </c>
      <c r="G79" s="34" t="str">
        <f>總表!A51</f>
        <v>24</v>
      </c>
      <c r="H79" s="34" t="str">
        <f>總表!B51</f>
        <v>47</v>
      </c>
      <c r="I79" s="35" t="str">
        <f>IF(總表!L51="","",總表!L51)</f>
        <v/>
      </c>
    </row>
    <row r="80" spans="1:9">
      <c r="A80" s="34" t="str">
        <f>總表!I56</f>
        <v>第8桌</v>
      </c>
      <c r="B80" s="34" t="str">
        <f>IF(總表!J56="","",總表!J56)</f>
        <v>第8組</v>
      </c>
      <c r="C80" s="34" t="str">
        <f>IF(總表!K56="","",總表!K56)</f>
        <v/>
      </c>
      <c r="D80" s="35" t="str">
        <f>總表!C56</f>
        <v>王思嵐</v>
      </c>
      <c r="E80" s="35" t="str">
        <f>總表!D56</f>
        <v>富則通訊處</v>
      </c>
      <c r="F80" s="34" t="str">
        <f>總表!E56</f>
        <v>女</v>
      </c>
      <c r="G80" s="34" t="str">
        <f>總表!A56</f>
        <v>26</v>
      </c>
      <c r="H80" s="34" t="str">
        <f>總表!B56</f>
        <v>52</v>
      </c>
      <c r="I80" s="35" t="str">
        <f>IF(總表!L56="","",總表!L56)</f>
        <v/>
      </c>
    </row>
    <row r="81" spans="1:9">
      <c r="A81" s="34" t="str">
        <f>總表!I71</f>
        <v>第8桌</v>
      </c>
      <c r="B81" s="34" t="str">
        <f>IF(總表!J71="","",總表!J71)</f>
        <v>第8組</v>
      </c>
      <c r="C81" s="34" t="str">
        <f>IF(總表!K71="","",總表!K71)</f>
        <v>組長</v>
      </c>
      <c r="D81" s="35" t="str">
        <f>總表!C71</f>
        <v>張祐珮</v>
      </c>
      <c r="E81" s="35" t="str">
        <f>總表!D71</f>
        <v>富后通訊處</v>
      </c>
      <c r="F81" s="34" t="str">
        <f>總表!E71</f>
        <v>女</v>
      </c>
      <c r="G81" s="34" t="str">
        <f>總表!A71</f>
        <v>34</v>
      </c>
      <c r="H81" s="34" t="str">
        <f>總表!B71</f>
        <v>67</v>
      </c>
      <c r="I81" s="35" t="str">
        <f>IF(總表!L71="","",總表!L71)</f>
        <v/>
      </c>
    </row>
    <row r="82" spans="1:9">
      <c r="A82" s="34" t="str">
        <f>總表!I5</f>
        <v>第9桌</v>
      </c>
      <c r="B82" s="34" t="str">
        <f>IF(總表!J5="","",總表!J5)</f>
        <v>第9組</v>
      </c>
      <c r="C82" s="34" t="str">
        <f>IF(總表!K5="","",總表!K5)</f>
        <v>組長</v>
      </c>
      <c r="D82" s="35" t="str">
        <f>總表!C5</f>
        <v>許智雄</v>
      </c>
      <c r="E82" s="35" t="str">
        <f>總表!D5</f>
        <v>高天通訊處</v>
      </c>
      <c r="F82" s="34" t="str">
        <f>總表!E5</f>
        <v>男</v>
      </c>
      <c r="G82" s="34" t="str">
        <f>總表!A5</f>
        <v>1</v>
      </c>
      <c r="H82" s="34" t="str">
        <f>總表!B5</f>
        <v>1</v>
      </c>
      <c r="I82" s="35" t="str">
        <f>IF(總表!L5="","",總表!L5)</f>
        <v/>
      </c>
    </row>
    <row r="83" spans="1:9">
      <c r="A83" s="34" t="str">
        <f>總表!I13</f>
        <v>第9桌</v>
      </c>
      <c r="B83" s="34" t="str">
        <f>IF(總表!J13="","",總表!J13)</f>
        <v>第9組</v>
      </c>
      <c r="C83" s="34" t="str">
        <f>IF(總表!K13="","",總表!K13)</f>
        <v/>
      </c>
      <c r="D83" s="35" t="str">
        <f>總表!C13</f>
        <v>吳睿綝</v>
      </c>
      <c r="E83" s="35" t="str">
        <f>總表!D13</f>
        <v>高天通訊處</v>
      </c>
      <c r="F83" s="34" t="str">
        <f>總表!E13</f>
        <v>女</v>
      </c>
      <c r="G83" s="34" t="str">
        <f>總表!A13</f>
        <v>5</v>
      </c>
      <c r="H83" s="34" t="str">
        <f>總表!B13</f>
        <v>9</v>
      </c>
      <c r="I83" s="35" t="str">
        <f>IF(總表!L13="","",總表!L13)</f>
        <v/>
      </c>
    </row>
    <row r="84" spans="1:9">
      <c r="A84" s="34" t="str">
        <f>總表!I42</f>
        <v>第9桌</v>
      </c>
      <c r="B84" s="34" t="str">
        <f>IF(總表!J42="","",總表!J42)</f>
        <v>第9組</v>
      </c>
      <c r="C84" s="34" t="str">
        <f>IF(總表!K42="","",總表!K42)</f>
        <v/>
      </c>
      <c r="D84" s="35" t="str">
        <f>總表!C42</f>
        <v>徐瀚</v>
      </c>
      <c r="E84" s="35" t="str">
        <f>總表!D42</f>
        <v>富吳通訊處</v>
      </c>
      <c r="F84" s="34" t="str">
        <f>總表!E42</f>
        <v>男</v>
      </c>
      <c r="G84" s="34" t="str">
        <f>總表!A42</f>
        <v>19</v>
      </c>
      <c r="H84" s="34" t="str">
        <f>總表!B42</f>
        <v>38</v>
      </c>
      <c r="I84" s="35" t="str">
        <f>IF(總表!L42="","",總表!L42)</f>
        <v/>
      </c>
    </row>
    <row r="85" spans="1:9">
      <c r="A85" s="34" t="str">
        <f>總表!I46</f>
        <v>第9桌</v>
      </c>
      <c r="B85" s="34" t="str">
        <f>IF(總表!J46="","",總表!J46)</f>
        <v>第9組</v>
      </c>
      <c r="C85" s="34" t="str">
        <f>IF(總表!K46="","",總表!K46)</f>
        <v/>
      </c>
      <c r="D85" s="35" t="str">
        <f>總表!C46</f>
        <v>王昱文</v>
      </c>
      <c r="E85" s="35" t="str">
        <f>總表!D46</f>
        <v>富則通訊處</v>
      </c>
      <c r="F85" s="34" t="str">
        <f>總表!E46</f>
        <v>男</v>
      </c>
      <c r="G85" s="34" t="str">
        <f>總表!A46</f>
        <v>21</v>
      </c>
      <c r="H85" s="34" t="str">
        <f>總表!B46</f>
        <v>42</v>
      </c>
      <c r="I85" s="35" t="str">
        <f>IF(總表!L46="","",總表!L46)</f>
        <v/>
      </c>
    </row>
    <row r="86" spans="1:9">
      <c r="A86" s="34" t="str">
        <f>總表!I54</f>
        <v>第9桌</v>
      </c>
      <c r="B86" s="34" t="str">
        <f>IF(總表!J54="","",總表!J54)</f>
        <v>第9組</v>
      </c>
      <c r="C86" s="34" t="str">
        <f>IF(總表!K54="","",總表!K54)</f>
        <v/>
      </c>
      <c r="D86" s="35" t="str">
        <f>總表!C54</f>
        <v>林宜潔</v>
      </c>
      <c r="E86" s="35" t="str">
        <f>總表!D54</f>
        <v>富占通訊處</v>
      </c>
      <c r="F86" s="34" t="str">
        <f>總表!E54</f>
        <v>女</v>
      </c>
      <c r="G86" s="34" t="str">
        <f>總表!A54</f>
        <v>25</v>
      </c>
      <c r="H86" s="34" t="str">
        <f>總表!B54</f>
        <v>50</v>
      </c>
      <c r="I86" s="35" t="str">
        <f>IF(總表!L54="","",總表!L54)</f>
        <v/>
      </c>
    </row>
    <row r="87" spans="1:9">
      <c r="A87" s="34" t="str">
        <f>總表!I65</f>
        <v>第9桌</v>
      </c>
      <c r="B87" s="34" t="str">
        <f>IF(總表!J65="","",總表!J65)</f>
        <v>第9組</v>
      </c>
      <c r="C87" s="34" t="str">
        <f>IF(總表!K65="","",總表!K65)</f>
        <v/>
      </c>
      <c r="D87" s="35" t="str">
        <f>總表!C65</f>
        <v>蔡承遠</v>
      </c>
      <c r="E87" s="35" t="str">
        <f>總表!D65</f>
        <v>富則通訊處</v>
      </c>
      <c r="F87" s="34" t="str">
        <f>總表!E65</f>
        <v>男</v>
      </c>
      <c r="G87" s="34" t="str">
        <f>總表!A65</f>
        <v>31</v>
      </c>
      <c r="H87" s="34" t="str">
        <f>總表!B65</f>
        <v>61</v>
      </c>
      <c r="I87" s="35" t="str">
        <f>IF(總表!L65="","",總表!L65)</f>
        <v/>
      </c>
    </row>
    <row r="88" spans="1:9">
      <c r="A88" s="34" t="str">
        <f>總表!I75</f>
        <v>第9桌</v>
      </c>
      <c r="B88" s="34" t="str">
        <f>IF(總表!J75="","",總表!J75)</f>
        <v>第9組</v>
      </c>
      <c r="C88" s="34" t="str">
        <f>IF(總表!K75="","",總表!K75)</f>
        <v/>
      </c>
      <c r="D88" s="35" t="str">
        <f>總表!C75</f>
        <v>馬英傑</v>
      </c>
      <c r="E88" s="35" t="str">
        <f>總表!D75</f>
        <v>富亨通訊處</v>
      </c>
      <c r="F88" s="34" t="str">
        <f>總表!E75</f>
        <v>男</v>
      </c>
      <c r="G88" s="34" t="str">
        <f>總表!A75</f>
        <v>36</v>
      </c>
      <c r="H88" s="34" t="str">
        <f>總表!B75</f>
        <v>71</v>
      </c>
      <c r="I88" s="35" t="str">
        <f>IF(總表!L75="","",總表!L75)</f>
        <v/>
      </c>
    </row>
    <row r="89" spans="1:9">
      <c r="A89" s="34" t="str">
        <f>總表!I78</f>
        <v>第9桌</v>
      </c>
      <c r="B89" s="34" t="str">
        <f>IF(總表!J78="","",總表!J78)</f>
        <v>第9組</v>
      </c>
      <c r="C89" s="34" t="str">
        <f>IF(總表!K78="","",總表!K78)</f>
        <v/>
      </c>
      <c r="D89" s="35" t="str">
        <f>總表!C78</f>
        <v>廖家慧</v>
      </c>
      <c r="E89" s="35" t="str">
        <f>總表!D78</f>
        <v>富亨通訊處</v>
      </c>
      <c r="F89" s="34" t="str">
        <f>總表!E78</f>
        <v>女</v>
      </c>
      <c r="G89" s="34" t="str">
        <f>總表!A78</f>
        <v>37</v>
      </c>
      <c r="H89" s="34" t="str">
        <f>總表!B78</f>
        <v>74</v>
      </c>
      <c r="I89" s="35" t="str">
        <f>IF(總表!L78="","",總表!L78)</f>
        <v/>
      </c>
    </row>
  </sheetData>
  <mergeCells count="2">
    <mergeCell ref="A1:I1"/>
    <mergeCell ref="A2:I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showGridLines="0" workbookViewId="0">
      <selection sqref="A1:C1"/>
    </sheetView>
  </sheetViews>
  <sheetFormatPr baseColWidth="10" defaultColWidth="8.83203125" defaultRowHeight="14"/>
  <cols>
    <col min="1" max="1" width="24" customWidth="1"/>
    <col min="2" max="2" width="10" customWidth="1"/>
    <col min="3" max="3" width="34" customWidth="1"/>
  </cols>
  <sheetData>
    <row r="1" spans="1:3" ht="19" customHeight="1">
      <c r="A1" s="51" t="s">
        <v>219</v>
      </c>
      <c r="B1" s="52"/>
      <c r="C1" s="52"/>
    </row>
    <row r="3" spans="1:3">
      <c r="A3" s="13" t="s">
        <v>220</v>
      </c>
      <c r="B3" s="13" t="s">
        <v>221</v>
      </c>
      <c r="C3" s="13" t="s">
        <v>222</v>
      </c>
    </row>
    <row r="4" spans="1:3" ht="15" customHeight="1">
      <c r="A4" s="14" t="s">
        <v>223</v>
      </c>
      <c r="B4" s="15">
        <v>85</v>
      </c>
      <c r="C4" s="16"/>
    </row>
    <row r="5" spans="1:3" ht="15" customHeight="1">
      <c r="A5" s="17" t="s">
        <v>224</v>
      </c>
      <c r="B5" s="18">
        <v>0</v>
      </c>
      <c r="C5" s="19"/>
    </row>
    <row r="6" spans="1:3" ht="15" customHeight="1">
      <c r="A6" s="17" t="s">
        <v>225</v>
      </c>
      <c r="B6" s="18">
        <v>0</v>
      </c>
      <c r="C6" s="19"/>
    </row>
    <row r="7" spans="1:3" ht="15" customHeight="1">
      <c r="A7" s="17" t="s">
        <v>226</v>
      </c>
      <c r="B7" s="18">
        <v>0</v>
      </c>
      <c r="C7" s="19"/>
    </row>
    <row r="8" spans="1:3" ht="15" customHeight="1">
      <c r="A8" s="20" t="s">
        <v>227</v>
      </c>
      <c r="B8" s="21">
        <v>0</v>
      </c>
      <c r="C8" s="22"/>
    </row>
    <row r="9" spans="1:3">
      <c r="A9" s="36" t="s">
        <v>324</v>
      </c>
      <c r="B9" s="37">
        <v>85</v>
      </c>
      <c r="C9" s="36" t="s">
        <v>325</v>
      </c>
    </row>
    <row r="10" spans="1:3">
      <c r="A10" s="38" t="s">
        <v>326</v>
      </c>
      <c r="B10" s="39">
        <v>0</v>
      </c>
      <c r="C10" s="38"/>
    </row>
    <row r="11" spans="1:3">
      <c r="A11" s="40" t="s">
        <v>327</v>
      </c>
      <c r="B11" s="41">
        <v>85</v>
      </c>
      <c r="C11" s="40" t="s">
        <v>328</v>
      </c>
    </row>
    <row r="12" spans="1:3">
      <c r="A12" s="42" t="s">
        <v>329</v>
      </c>
      <c r="B12" s="43">
        <v>0</v>
      </c>
      <c r="C12" s="42"/>
    </row>
  </sheetData>
  <mergeCells count="1">
    <mergeCell ref="A1:C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9"/>
  <sheetViews>
    <sheetView showGridLines="0" topLeftCell="A10" workbookViewId="0">
      <selection sqref="A1:H1"/>
    </sheetView>
  </sheetViews>
  <sheetFormatPr baseColWidth="10" defaultColWidth="8.83203125" defaultRowHeight="14"/>
  <cols>
    <col min="1" max="2" width="13" customWidth="1"/>
    <col min="3" max="3" width="20" customWidth="1"/>
    <col min="4" max="6" width="9" customWidth="1"/>
    <col min="7" max="8" width="13" customWidth="1"/>
  </cols>
  <sheetData>
    <row r="1" spans="1:8" ht="30" customHeight="1">
      <c r="A1" s="45" t="s">
        <v>330</v>
      </c>
      <c r="B1" s="45"/>
      <c r="C1" s="45"/>
      <c r="D1" s="45"/>
      <c r="E1" s="45"/>
      <c r="F1" s="45"/>
      <c r="G1" s="45"/>
      <c r="H1" s="45"/>
    </row>
    <row r="2" spans="1:8" ht="22" customHeight="1">
      <c r="A2" s="48" t="s">
        <v>331</v>
      </c>
      <c r="B2" s="48"/>
      <c r="C2" s="48"/>
      <c r="D2" s="48"/>
      <c r="E2" s="48"/>
      <c r="F2" s="48"/>
      <c r="G2" s="48"/>
      <c r="H2" s="48"/>
    </row>
    <row r="4" spans="1:8" ht="24" customHeight="1">
      <c r="A4" s="34" t="s">
        <v>232</v>
      </c>
      <c r="B4" s="35" t="s">
        <v>3</v>
      </c>
      <c r="C4" s="35" t="s">
        <v>4</v>
      </c>
      <c r="D4" s="34" t="s">
        <v>5</v>
      </c>
      <c r="E4" s="34" t="s">
        <v>1</v>
      </c>
      <c r="F4" s="34" t="s">
        <v>2</v>
      </c>
      <c r="G4" s="34" t="s">
        <v>332</v>
      </c>
      <c r="H4" s="34" t="s">
        <v>333</v>
      </c>
    </row>
    <row r="5" spans="1:8">
      <c r="A5" s="34" t="str">
        <f>總表!O11</f>
        <v>第1車</v>
      </c>
      <c r="B5" s="35" t="str">
        <f>總表!C11</f>
        <v>戴東志</v>
      </c>
      <c r="C5" s="35" t="str">
        <f>總表!D11</f>
        <v>高天通訊處</v>
      </c>
      <c r="D5" s="34" t="str">
        <f>總表!E11</f>
        <v>男</v>
      </c>
      <c r="E5" s="34" t="str">
        <f>總表!A11</f>
        <v>4</v>
      </c>
      <c r="F5" s="34" t="str">
        <f>總表!B11</f>
        <v>7</v>
      </c>
      <c r="G5" s="34" t="str">
        <f>總表!H11</f>
        <v>第1桌</v>
      </c>
      <c r="H5" s="34" t="str">
        <f>總表!I11</f>
        <v>第1桌</v>
      </c>
    </row>
    <row r="6" spans="1:8">
      <c r="A6" s="34" t="str">
        <f>總表!O7</f>
        <v>第1車</v>
      </c>
      <c r="B6" s="35" t="str">
        <f>總表!C7</f>
        <v>何宜家</v>
      </c>
      <c r="C6" s="35" t="str">
        <f>總表!D7</f>
        <v>高天通訊處</v>
      </c>
      <c r="D6" s="34" t="str">
        <f>總表!E7</f>
        <v>女</v>
      </c>
      <c r="E6" s="34" t="str">
        <f>總表!A7</f>
        <v>2</v>
      </c>
      <c r="F6" s="34" t="str">
        <f>總表!B7</f>
        <v>3</v>
      </c>
      <c r="G6" s="34" t="str">
        <f>總表!H7</f>
        <v>第1桌</v>
      </c>
      <c r="H6" s="34" t="str">
        <f>總表!I7</f>
        <v>主桌</v>
      </c>
    </row>
    <row r="7" spans="1:8">
      <c r="A7" s="34" t="str">
        <f>總表!O6</f>
        <v>第1車</v>
      </c>
      <c r="B7" s="35" t="str">
        <f>總表!C6</f>
        <v>謝政男</v>
      </c>
      <c r="C7" s="35" t="str">
        <f>總表!D6</f>
        <v>高天通訊處</v>
      </c>
      <c r="D7" s="34" t="str">
        <f>總表!E6</f>
        <v>男</v>
      </c>
      <c r="E7" s="34" t="str">
        <f>總表!A6</f>
        <v>1</v>
      </c>
      <c r="F7" s="34" t="str">
        <f>總表!B6</f>
        <v>2</v>
      </c>
      <c r="G7" s="34" t="str">
        <f>總表!H6</f>
        <v>第1桌</v>
      </c>
      <c r="H7" s="34" t="str">
        <f>總表!I6</f>
        <v>第6桌</v>
      </c>
    </row>
    <row r="8" spans="1:8">
      <c r="A8" s="34" t="str">
        <f>總表!O5</f>
        <v>第1車</v>
      </c>
      <c r="B8" s="35" t="str">
        <f>總表!C5</f>
        <v>許智雄</v>
      </c>
      <c r="C8" s="35" t="str">
        <f>總表!D5</f>
        <v>高天通訊處</v>
      </c>
      <c r="D8" s="34" t="str">
        <f>總表!E5</f>
        <v>男</v>
      </c>
      <c r="E8" s="34" t="str">
        <f>總表!A5</f>
        <v>1</v>
      </c>
      <c r="F8" s="34" t="str">
        <f>總表!B5</f>
        <v>1</v>
      </c>
      <c r="G8" s="34" t="str">
        <f>總表!H5</f>
        <v>第1桌</v>
      </c>
      <c r="H8" s="34" t="str">
        <f>總表!I5</f>
        <v>第9桌</v>
      </c>
    </row>
    <row r="9" spans="1:8">
      <c r="A9" s="34" t="str">
        <f>總表!O9</f>
        <v>第1車</v>
      </c>
      <c r="B9" s="35" t="str">
        <f>總表!C9</f>
        <v>蕭如菁</v>
      </c>
      <c r="C9" s="35" t="str">
        <f>總表!D9</f>
        <v>高天通訊處</v>
      </c>
      <c r="D9" s="34" t="str">
        <f>總表!E9</f>
        <v>女</v>
      </c>
      <c r="E9" s="34" t="str">
        <f>總表!A9</f>
        <v>3</v>
      </c>
      <c r="F9" s="34" t="str">
        <f>總表!B9</f>
        <v>5</v>
      </c>
      <c r="G9" s="34" t="str">
        <f>總表!H9</f>
        <v>第1桌</v>
      </c>
      <c r="H9" s="34" t="str">
        <f>總表!I9</f>
        <v>第3桌</v>
      </c>
    </row>
    <row r="10" spans="1:8">
      <c r="A10" s="34" t="str">
        <f>總表!O12</f>
        <v>第1車</v>
      </c>
      <c r="B10" s="35" t="str">
        <f>總表!C12</f>
        <v>詹政杰</v>
      </c>
      <c r="C10" s="35" t="str">
        <f>總表!D12</f>
        <v>高天通訊處</v>
      </c>
      <c r="D10" s="34" t="str">
        <f>總表!E12</f>
        <v>男</v>
      </c>
      <c r="E10" s="34" t="str">
        <f>總表!A12</f>
        <v>4</v>
      </c>
      <c r="F10" s="34" t="str">
        <f>總表!B12</f>
        <v>8</v>
      </c>
      <c r="G10" s="34" t="str">
        <f>總表!H12</f>
        <v>第1桌</v>
      </c>
      <c r="H10" s="34" t="str">
        <f>總表!I12</f>
        <v>第7桌</v>
      </c>
    </row>
    <row r="11" spans="1:8">
      <c r="A11" s="34" t="str">
        <f>總表!O10</f>
        <v>第1車</v>
      </c>
      <c r="B11" s="35" t="str">
        <f>總表!C10</f>
        <v>何宜庭</v>
      </c>
      <c r="C11" s="35" t="str">
        <f>總表!D10</f>
        <v>高天通訊處</v>
      </c>
      <c r="D11" s="34" t="str">
        <f>總表!E10</f>
        <v>女</v>
      </c>
      <c r="E11" s="34" t="str">
        <f>總表!A10</f>
        <v>3</v>
      </c>
      <c r="F11" s="34" t="str">
        <f>總表!B10</f>
        <v>6</v>
      </c>
      <c r="G11" s="34" t="str">
        <f>總表!H10</f>
        <v>第1桌</v>
      </c>
      <c r="H11" s="34" t="str">
        <f>總表!I10</f>
        <v>第8桌</v>
      </c>
    </row>
    <row r="12" spans="1:8">
      <c r="A12" s="34" t="str">
        <f>總表!O8</f>
        <v>第1車</v>
      </c>
      <c r="B12" s="35" t="str">
        <f>總表!C8</f>
        <v>蕭宇晴</v>
      </c>
      <c r="C12" s="35" t="str">
        <f>總表!D8</f>
        <v>高天通訊處</v>
      </c>
      <c r="D12" s="34" t="str">
        <f>總表!E8</f>
        <v>女</v>
      </c>
      <c r="E12" s="34" t="str">
        <f>總表!A8</f>
        <v>2</v>
      </c>
      <c r="F12" s="34" t="str">
        <f>總表!B8</f>
        <v>4</v>
      </c>
      <c r="G12" s="34" t="str">
        <f>總表!H8</f>
        <v>第1桌</v>
      </c>
      <c r="H12" s="34" t="str">
        <f>總表!I8</f>
        <v>第2桌</v>
      </c>
    </row>
    <row r="13" spans="1:8">
      <c r="A13" s="34" t="str">
        <f>總表!O13</f>
        <v>第1車</v>
      </c>
      <c r="B13" s="35" t="str">
        <f>總表!C13</f>
        <v>吳睿綝</v>
      </c>
      <c r="C13" s="35" t="str">
        <f>總表!D13</f>
        <v>高天通訊處</v>
      </c>
      <c r="D13" s="34" t="str">
        <f>總表!E13</f>
        <v>女</v>
      </c>
      <c r="E13" s="34" t="str">
        <f>總表!A13</f>
        <v>5</v>
      </c>
      <c r="F13" s="34" t="str">
        <f>總表!B13</f>
        <v>9</v>
      </c>
      <c r="G13" s="34" t="str">
        <f>總表!H13</f>
        <v>第1桌</v>
      </c>
      <c r="H13" s="34" t="str">
        <f>總表!I13</f>
        <v>第9桌</v>
      </c>
    </row>
    <row r="14" spans="1:8">
      <c r="A14" s="34" t="str">
        <f>總表!O14</f>
        <v>第1車</v>
      </c>
      <c r="B14" s="35" t="str">
        <f>總表!C14</f>
        <v>陳懷柔</v>
      </c>
      <c r="C14" s="35" t="str">
        <f>總表!D14</f>
        <v>高天通訊處</v>
      </c>
      <c r="D14" s="34" t="str">
        <f>總表!E14</f>
        <v>女</v>
      </c>
      <c r="E14" s="34" t="str">
        <f>總表!A14</f>
        <v>5</v>
      </c>
      <c r="F14" s="34" t="str">
        <f>總表!B14</f>
        <v>10</v>
      </c>
      <c r="G14" s="34" t="str">
        <f>總表!H14</f>
        <v>第1桌</v>
      </c>
      <c r="H14" s="34" t="str">
        <f>總表!I14</f>
        <v>第7桌</v>
      </c>
    </row>
    <row r="15" spans="1:8">
      <c r="A15" s="34" t="str">
        <f>總表!O15</f>
        <v>第1車</v>
      </c>
      <c r="B15" s="35" t="str">
        <f>總表!C15</f>
        <v>黃柏瑞</v>
      </c>
      <c r="C15" s="35" t="str">
        <f>總表!D15</f>
        <v>高貴通訊處</v>
      </c>
      <c r="D15" s="34" t="str">
        <f>總表!E15</f>
        <v>男</v>
      </c>
      <c r="E15" s="34" t="str">
        <f>總表!A15</f>
        <v>6</v>
      </c>
      <c r="F15" s="34" t="str">
        <f>總表!B15</f>
        <v>11</v>
      </c>
      <c r="G15" s="34" t="str">
        <f>總表!H15</f>
        <v>第2桌</v>
      </c>
      <c r="H15" s="34" t="str">
        <f>總表!I15</f>
        <v>第1桌</v>
      </c>
    </row>
    <row r="16" spans="1:8">
      <c r="A16" s="34" t="str">
        <f>總表!O16</f>
        <v>第1車</v>
      </c>
      <c r="B16" s="35" t="str">
        <f>總表!C16</f>
        <v>陳其呈</v>
      </c>
      <c r="C16" s="35" t="str">
        <f>總表!D16</f>
        <v>高貴通訊處</v>
      </c>
      <c r="D16" s="34" t="str">
        <f>總表!E16</f>
        <v>男</v>
      </c>
      <c r="E16" s="34" t="str">
        <f>總表!A16</f>
        <v>6</v>
      </c>
      <c r="F16" s="34" t="str">
        <f>總表!B16</f>
        <v>12</v>
      </c>
      <c r="G16" s="34" t="str">
        <f>總表!H16</f>
        <v>第2桌</v>
      </c>
      <c r="H16" s="34" t="str">
        <f>總表!I16</f>
        <v>第2桌</v>
      </c>
    </row>
    <row r="17" spans="1:8">
      <c r="A17" s="34" t="str">
        <f>總表!O77</f>
        <v>第1車</v>
      </c>
      <c r="B17" s="35" t="str">
        <f>總表!C77</f>
        <v>陳怡萍</v>
      </c>
      <c r="C17" s="35" t="str">
        <f>總表!D77</f>
        <v>富亨通訊處</v>
      </c>
      <c r="D17" s="34" t="str">
        <f>總表!E77</f>
        <v>女</v>
      </c>
      <c r="E17" s="34" t="str">
        <f>總表!A77</f>
        <v>37</v>
      </c>
      <c r="F17" s="34" t="str">
        <f>總表!B77</f>
        <v>73</v>
      </c>
      <c r="G17" s="34" t="str">
        <f>總表!H77</f>
        <v>第2桌</v>
      </c>
      <c r="H17" s="34" t="str">
        <f>總表!I77</f>
        <v>第4桌</v>
      </c>
    </row>
    <row r="18" spans="1:8">
      <c r="A18" s="34" t="str">
        <f>總表!O78</f>
        <v>第1車</v>
      </c>
      <c r="B18" s="35" t="str">
        <f>總表!C78</f>
        <v>廖家慧</v>
      </c>
      <c r="C18" s="35" t="str">
        <f>總表!D78</f>
        <v>富亨通訊處</v>
      </c>
      <c r="D18" s="34" t="str">
        <f>總表!E78</f>
        <v>女</v>
      </c>
      <c r="E18" s="34" t="str">
        <f>總表!A78</f>
        <v>37</v>
      </c>
      <c r="F18" s="34" t="str">
        <f>總表!B78</f>
        <v>74</v>
      </c>
      <c r="G18" s="34" t="str">
        <f>總表!H78</f>
        <v>第2桌</v>
      </c>
      <c r="H18" s="34" t="str">
        <f>總表!I78</f>
        <v>第9桌</v>
      </c>
    </row>
    <row r="19" spans="1:8">
      <c r="A19" s="34" t="str">
        <f>總表!O75</f>
        <v>第1車</v>
      </c>
      <c r="B19" s="35" t="str">
        <f>總表!C75</f>
        <v>馬英傑</v>
      </c>
      <c r="C19" s="35" t="str">
        <f>總表!D75</f>
        <v>富亨通訊處</v>
      </c>
      <c r="D19" s="34" t="str">
        <f>總表!E75</f>
        <v>男</v>
      </c>
      <c r="E19" s="34" t="str">
        <f>總表!A75</f>
        <v>36</v>
      </c>
      <c r="F19" s="34" t="str">
        <f>總表!B75</f>
        <v>71</v>
      </c>
      <c r="G19" s="34" t="str">
        <f>總表!H75</f>
        <v>第2桌</v>
      </c>
      <c r="H19" s="34" t="str">
        <f>總表!I75</f>
        <v>第9桌</v>
      </c>
    </row>
    <row r="20" spans="1:8">
      <c r="A20" s="34" t="str">
        <f>總表!O74</f>
        <v>第1車</v>
      </c>
      <c r="B20" s="35" t="str">
        <f>總表!C74</f>
        <v>張家瑋</v>
      </c>
      <c r="C20" s="35" t="str">
        <f>總表!D74</f>
        <v>富亨通訊處</v>
      </c>
      <c r="D20" s="34" t="str">
        <f>總表!E74</f>
        <v>男</v>
      </c>
      <c r="E20" s="34" t="str">
        <f>總表!A74</f>
        <v>35</v>
      </c>
      <c r="F20" s="34" t="str">
        <f>總表!B74</f>
        <v>70</v>
      </c>
      <c r="G20" s="34" t="str">
        <f>總表!H74</f>
        <v>第2桌</v>
      </c>
      <c r="H20" s="34" t="str">
        <f>總表!I74</f>
        <v>第3桌</v>
      </c>
    </row>
    <row r="21" spans="1:8">
      <c r="A21" s="34" t="str">
        <f>總表!O76</f>
        <v>第1車</v>
      </c>
      <c r="B21" s="35" t="str">
        <f>總表!C76</f>
        <v>林宏威</v>
      </c>
      <c r="C21" s="35" t="str">
        <f>總表!D76</f>
        <v>富亨通訊處</v>
      </c>
      <c r="D21" s="34" t="str">
        <f>總表!E76</f>
        <v>男</v>
      </c>
      <c r="E21" s="34" t="str">
        <f>總表!A76</f>
        <v>36</v>
      </c>
      <c r="F21" s="34" t="str">
        <f>總表!B76</f>
        <v>72</v>
      </c>
      <c r="G21" s="34" t="str">
        <f>總表!H76</f>
        <v>第2桌</v>
      </c>
      <c r="H21" s="34" t="str">
        <f>總表!I76</f>
        <v>第6桌</v>
      </c>
    </row>
    <row r="22" spans="1:8">
      <c r="A22" s="34" t="str">
        <f>總表!O71</f>
        <v>第1車</v>
      </c>
      <c r="B22" s="35" t="str">
        <f>總表!C71</f>
        <v>張祐珮</v>
      </c>
      <c r="C22" s="35" t="str">
        <f>總表!D71</f>
        <v>富后通訊處</v>
      </c>
      <c r="D22" s="34" t="str">
        <f>總表!E71</f>
        <v>女</v>
      </c>
      <c r="E22" s="34" t="str">
        <f>總表!A71</f>
        <v>34</v>
      </c>
      <c r="F22" s="34" t="str">
        <f>總表!B71</f>
        <v>67</v>
      </c>
      <c r="G22" s="34" t="str">
        <f>總表!H71</f>
        <v>第2桌</v>
      </c>
      <c r="H22" s="34" t="str">
        <f>總表!I71</f>
        <v>第8桌</v>
      </c>
    </row>
    <row r="23" spans="1:8">
      <c r="A23" s="34" t="str">
        <f>總表!O73</f>
        <v>第1車</v>
      </c>
      <c r="B23" s="35" t="str">
        <f>總表!C73</f>
        <v>吳皓誠</v>
      </c>
      <c r="C23" s="35" t="str">
        <f>總表!D73</f>
        <v>富亨通訊處</v>
      </c>
      <c r="D23" s="34" t="str">
        <f>總表!E73</f>
        <v>男</v>
      </c>
      <c r="E23" s="34" t="str">
        <f>總表!A73</f>
        <v>35</v>
      </c>
      <c r="F23" s="34" t="str">
        <f>總表!B73</f>
        <v>69</v>
      </c>
      <c r="G23" s="34" t="str">
        <f>總表!H73</f>
        <v>第2桌</v>
      </c>
      <c r="H23" s="34" t="str">
        <f>總表!I73</f>
        <v>第1桌</v>
      </c>
    </row>
    <row r="24" spans="1:8">
      <c r="A24" s="34" t="str">
        <f>總表!O72</f>
        <v>第1車</v>
      </c>
      <c r="B24" s="35" t="str">
        <f>總表!C72</f>
        <v>施昕余</v>
      </c>
      <c r="C24" s="35" t="str">
        <f>總表!D72</f>
        <v>中銘通訊處</v>
      </c>
      <c r="D24" s="34" t="str">
        <f>總表!E72</f>
        <v>女</v>
      </c>
      <c r="E24" s="34" t="str">
        <f>總表!A72</f>
        <v>34</v>
      </c>
      <c r="F24" s="34" t="str">
        <f>總表!B72</f>
        <v>68</v>
      </c>
      <c r="G24" s="34" t="str">
        <f>總表!H72</f>
        <v>第2桌</v>
      </c>
      <c r="H24" s="34" t="str">
        <f>總表!I72</f>
        <v>第4桌</v>
      </c>
    </row>
    <row r="25" spans="1:8">
      <c r="A25" s="34" t="str">
        <f>總表!O51</f>
        <v>第1車</v>
      </c>
      <c r="B25" s="35" t="str">
        <f>總表!C51</f>
        <v>傅佳旻</v>
      </c>
      <c r="C25" s="35" t="str">
        <f>總表!D51</f>
        <v>富占通訊處</v>
      </c>
      <c r="D25" s="34" t="str">
        <f>總表!E51</f>
        <v>女</v>
      </c>
      <c r="E25" s="34" t="str">
        <f>總表!A51</f>
        <v>24</v>
      </c>
      <c r="F25" s="34" t="str">
        <f>總表!B51</f>
        <v>47</v>
      </c>
      <c r="G25" s="34" t="str">
        <f>總表!H51</f>
        <v>第3桌</v>
      </c>
      <c r="H25" s="34" t="str">
        <f>總表!I51</f>
        <v>第8桌</v>
      </c>
    </row>
    <row r="26" spans="1:8">
      <c r="A26" s="34" t="str">
        <f>總表!O52</f>
        <v>第1車</v>
      </c>
      <c r="B26" s="35" t="str">
        <f>總表!C52</f>
        <v>徐維鈴</v>
      </c>
      <c r="C26" s="35" t="str">
        <f>總表!D52</f>
        <v>富占通訊處</v>
      </c>
      <c r="D26" s="34" t="str">
        <f>總表!E52</f>
        <v>女</v>
      </c>
      <c r="E26" s="34" t="str">
        <f>總表!A52</f>
        <v>24</v>
      </c>
      <c r="F26" s="34" t="str">
        <f>總表!B52</f>
        <v>48</v>
      </c>
      <c r="G26" s="34" t="str">
        <f>總表!H52</f>
        <v>第3桌</v>
      </c>
      <c r="H26" s="34" t="str">
        <f>總表!I52</f>
        <v>第1桌</v>
      </c>
    </row>
    <row r="27" spans="1:8">
      <c r="A27" s="34" t="str">
        <f>總表!O87</f>
        <v>第1車</v>
      </c>
      <c r="B27" s="35" t="str">
        <f>總表!C87</f>
        <v>范毓斌</v>
      </c>
      <c r="C27" s="35" t="str">
        <f>總表!D87</f>
        <v>富占通訊處</v>
      </c>
      <c r="D27" s="34" t="str">
        <f>總表!E87</f>
        <v>男</v>
      </c>
      <c r="E27" s="34" t="str">
        <f>總表!A87</f>
        <v>42</v>
      </c>
      <c r="F27" s="34" t="str">
        <f>總表!B87</f>
        <v>83</v>
      </c>
      <c r="G27" s="34" t="str">
        <f>總表!H87</f>
        <v>第3桌</v>
      </c>
      <c r="H27" s="34" t="str">
        <f>總表!I87</f>
        <v>第4桌</v>
      </c>
    </row>
    <row r="28" spans="1:8">
      <c r="A28" s="34" t="str">
        <f>總表!O85</f>
        <v>第1車</v>
      </c>
      <c r="B28" s="35" t="str">
        <f>總表!C85</f>
        <v>鄭占禮</v>
      </c>
      <c r="C28" s="35" t="str">
        <f>總表!D85</f>
        <v>富占通訊處</v>
      </c>
      <c r="D28" s="34" t="str">
        <f>總表!E85</f>
        <v>男</v>
      </c>
      <c r="E28" s="34" t="str">
        <f>總表!A85</f>
        <v>41</v>
      </c>
      <c r="F28" s="34" t="str">
        <f>總表!B85</f>
        <v>81</v>
      </c>
      <c r="G28" s="34" t="str">
        <f>總表!H85</f>
        <v>第3桌</v>
      </c>
      <c r="H28" s="34" t="str">
        <f>總表!I85</f>
        <v>主桌</v>
      </c>
    </row>
    <row r="29" spans="1:8">
      <c r="A29" s="34" t="str">
        <f>總表!O53</f>
        <v>第1車</v>
      </c>
      <c r="B29" s="35" t="str">
        <f>總表!C53</f>
        <v>鍾怡婷</v>
      </c>
      <c r="C29" s="35" t="str">
        <f>總表!D53</f>
        <v>富占通訊處</v>
      </c>
      <c r="D29" s="34" t="str">
        <f>總表!E53</f>
        <v>女</v>
      </c>
      <c r="E29" s="34" t="str">
        <f>總表!A53</f>
        <v>25</v>
      </c>
      <c r="F29" s="34" t="str">
        <f>總表!B53</f>
        <v>49</v>
      </c>
      <c r="G29" s="34" t="str">
        <f>總表!H53</f>
        <v>第3桌</v>
      </c>
      <c r="H29" s="34" t="str">
        <f>總表!I53</f>
        <v>第6桌</v>
      </c>
    </row>
    <row r="30" spans="1:8">
      <c r="A30" s="34" t="str">
        <f>總表!O54</f>
        <v>第1車</v>
      </c>
      <c r="B30" s="35" t="str">
        <f>總表!C54</f>
        <v>林宜潔</v>
      </c>
      <c r="C30" s="35" t="str">
        <f>總表!D54</f>
        <v>富占通訊處</v>
      </c>
      <c r="D30" s="34" t="str">
        <f>總表!E54</f>
        <v>女</v>
      </c>
      <c r="E30" s="34" t="str">
        <f>總表!A54</f>
        <v>25</v>
      </c>
      <c r="F30" s="34" t="str">
        <f>總表!B54</f>
        <v>50</v>
      </c>
      <c r="G30" s="34" t="str">
        <f>總表!H54</f>
        <v>第3桌</v>
      </c>
      <c r="H30" s="34" t="str">
        <f>總表!I54</f>
        <v>第9桌</v>
      </c>
    </row>
    <row r="31" spans="1:8">
      <c r="A31" s="34" t="str">
        <f>總表!O66</f>
        <v>第1車</v>
      </c>
      <c r="B31" s="35" t="str">
        <f>總表!C66</f>
        <v>張國興</v>
      </c>
      <c r="C31" s="35" t="str">
        <f>總表!D66</f>
        <v>富則通訊處</v>
      </c>
      <c r="D31" s="34" t="str">
        <f>總表!E66</f>
        <v>男</v>
      </c>
      <c r="E31" s="34" t="str">
        <f>總表!A66</f>
        <v>31</v>
      </c>
      <c r="F31" s="34" t="str">
        <f>總表!B66</f>
        <v>62</v>
      </c>
      <c r="G31" s="34" t="str">
        <f>總表!H66</f>
        <v>第3桌</v>
      </c>
      <c r="H31" s="34" t="str">
        <f>總表!I66</f>
        <v>第4桌</v>
      </c>
    </row>
    <row r="32" spans="1:8">
      <c r="A32" s="34" t="str">
        <f>總表!O86</f>
        <v>第1車</v>
      </c>
      <c r="B32" s="35" t="str">
        <f>總表!C86</f>
        <v>孫振文</v>
      </c>
      <c r="C32" s="35" t="str">
        <f>總表!D86</f>
        <v>富北通訊處</v>
      </c>
      <c r="D32" s="34" t="str">
        <f>總表!E86</f>
        <v>男</v>
      </c>
      <c r="E32" s="34" t="str">
        <f>總表!A86</f>
        <v>41</v>
      </c>
      <c r="F32" s="34" t="str">
        <f>總表!B86</f>
        <v>82</v>
      </c>
      <c r="G32" s="34" t="str">
        <f>總表!H86</f>
        <v>第3桌</v>
      </c>
      <c r="H32" s="34" t="str">
        <f>總表!I86</f>
        <v>主桌</v>
      </c>
    </row>
    <row r="33" spans="1:8">
      <c r="A33" s="34" t="str">
        <f>總表!O45</f>
        <v>第1車</v>
      </c>
      <c r="B33" s="35" t="str">
        <f>總表!C45</f>
        <v>簡宏鈞</v>
      </c>
      <c r="C33" s="35" t="str">
        <f>總表!D45</f>
        <v>富能通訊處</v>
      </c>
      <c r="D33" s="34" t="str">
        <f>總表!E45</f>
        <v>男</v>
      </c>
      <c r="E33" s="34" t="str">
        <f>總表!A45</f>
        <v>21</v>
      </c>
      <c r="F33" s="34" t="str">
        <f>總表!B45</f>
        <v>41</v>
      </c>
      <c r="G33" s="34" t="str">
        <f>總表!H45</f>
        <v>第3桌</v>
      </c>
      <c r="H33" s="34" t="str">
        <f>總表!I45</f>
        <v>主桌</v>
      </c>
    </row>
    <row r="34" spans="1:8">
      <c r="A34" s="34" t="str">
        <f>總表!O65</f>
        <v>第1車</v>
      </c>
      <c r="B34" s="35" t="str">
        <f>總表!C65</f>
        <v>蔡承遠</v>
      </c>
      <c r="C34" s="35" t="str">
        <f>總表!D65</f>
        <v>富則通訊處</v>
      </c>
      <c r="D34" s="34" t="str">
        <f>總表!E65</f>
        <v>男</v>
      </c>
      <c r="E34" s="34" t="str">
        <f>總表!A65</f>
        <v>31</v>
      </c>
      <c r="F34" s="34" t="str">
        <f>總表!B65</f>
        <v>61</v>
      </c>
      <c r="G34" s="34" t="str">
        <f>總表!H65</f>
        <v>第3桌</v>
      </c>
      <c r="H34" s="34" t="str">
        <f>總表!I65</f>
        <v>第9桌</v>
      </c>
    </row>
    <row r="35" spans="1:8">
      <c r="A35" s="34" t="str">
        <f>總表!O80</f>
        <v>第1車</v>
      </c>
      <c r="B35" s="35" t="str">
        <f>總表!C80</f>
        <v>葉金玲</v>
      </c>
      <c r="C35" s="35" t="str">
        <f>總表!D80</f>
        <v>富鑽通訊處</v>
      </c>
      <c r="D35" s="34" t="str">
        <f>總表!E80</f>
        <v>女</v>
      </c>
      <c r="E35" s="34" t="str">
        <f>總表!A80</f>
        <v>38</v>
      </c>
      <c r="F35" s="34" t="str">
        <f>總表!B80</f>
        <v>76</v>
      </c>
      <c r="G35" s="34" t="str">
        <f>總表!H80</f>
        <v>第4桌</v>
      </c>
      <c r="H35" s="34" t="str">
        <f>總表!I80</f>
        <v>第1桌</v>
      </c>
    </row>
    <row r="36" spans="1:8">
      <c r="A36" s="34" t="str">
        <f>總表!O79</f>
        <v>第1車</v>
      </c>
      <c r="B36" s="35" t="str">
        <f>總表!C79</f>
        <v>陳龍生</v>
      </c>
      <c r="C36" s="35" t="str">
        <f>總表!D79</f>
        <v>富鑽通訊處</v>
      </c>
      <c r="D36" s="34" t="str">
        <f>總表!E79</f>
        <v>男</v>
      </c>
      <c r="E36" s="34" t="str">
        <f>總表!A79</f>
        <v>38</v>
      </c>
      <c r="F36" s="34" t="str">
        <f>總表!B79</f>
        <v>75</v>
      </c>
      <c r="G36" s="34" t="str">
        <f>總表!H79</f>
        <v>第4桌</v>
      </c>
      <c r="H36" s="34" t="str">
        <f>總表!I79</f>
        <v>第6桌</v>
      </c>
    </row>
    <row r="37" spans="1:8">
      <c r="A37" s="34" t="str">
        <f>總表!O82</f>
        <v>第1車</v>
      </c>
      <c r="B37" s="35" t="str">
        <f>總表!C82</f>
        <v>林瑋</v>
      </c>
      <c r="C37" s="35" t="str">
        <f>總表!D82</f>
        <v>富北通訊處</v>
      </c>
      <c r="D37" s="34" t="str">
        <f>總表!E82</f>
        <v>男</v>
      </c>
      <c r="E37" s="34" t="str">
        <f>總表!A82</f>
        <v>39</v>
      </c>
      <c r="F37" s="34" t="str">
        <f>總表!B82</f>
        <v>78</v>
      </c>
      <c r="G37" s="34" t="str">
        <f>總表!H82</f>
        <v>第4桌</v>
      </c>
      <c r="H37" s="34" t="str">
        <f>總表!I82</f>
        <v>第2桌</v>
      </c>
    </row>
    <row r="38" spans="1:8">
      <c r="A38" s="34" t="str">
        <f>總表!O81</f>
        <v>第1車</v>
      </c>
      <c r="B38" s="35" t="str">
        <f>總表!C81</f>
        <v>吳士侃</v>
      </c>
      <c r="C38" s="35" t="str">
        <f>總表!D81</f>
        <v>富北通訊處</v>
      </c>
      <c r="D38" s="34" t="str">
        <f>總表!E81</f>
        <v>男</v>
      </c>
      <c r="E38" s="34" t="str">
        <f>總表!A81</f>
        <v>39</v>
      </c>
      <c r="F38" s="34" t="str">
        <f>總表!B81</f>
        <v>77</v>
      </c>
      <c r="G38" s="34" t="str">
        <f>總表!H81</f>
        <v>第4桌</v>
      </c>
      <c r="H38" s="34" t="str">
        <f>總表!I81</f>
        <v>第7桌</v>
      </c>
    </row>
    <row r="39" spans="1:8">
      <c r="A39" s="34" t="str">
        <f>總表!O47</f>
        <v>第1車</v>
      </c>
      <c r="B39" s="35" t="str">
        <f>總表!C47</f>
        <v>管卓鈞</v>
      </c>
      <c r="C39" s="35" t="str">
        <f>總表!D47</f>
        <v>富能通訊處</v>
      </c>
      <c r="D39" s="34" t="str">
        <f>總表!E47</f>
        <v>女</v>
      </c>
      <c r="E39" s="34" t="str">
        <f>總表!A47</f>
        <v>22</v>
      </c>
      <c r="F39" s="34" t="str">
        <f>總表!B47</f>
        <v>43</v>
      </c>
      <c r="G39" s="34" t="str">
        <f>總表!H47</f>
        <v>第4桌</v>
      </c>
      <c r="H39" s="34" t="str">
        <f>總表!I47</f>
        <v>第5桌</v>
      </c>
    </row>
    <row r="40" spans="1:8">
      <c r="A40" s="34" t="str">
        <f>總表!O49</f>
        <v>第1車</v>
      </c>
      <c r="B40" s="35" t="str">
        <f>總表!C49</f>
        <v>簡姵萱</v>
      </c>
      <c r="C40" s="35" t="str">
        <f>總表!D49</f>
        <v>富能通訊處</v>
      </c>
      <c r="D40" s="34" t="str">
        <f>總表!E49</f>
        <v>女</v>
      </c>
      <c r="E40" s="34" t="str">
        <f>總表!A49</f>
        <v>23</v>
      </c>
      <c r="F40" s="34" t="str">
        <f>總表!B49</f>
        <v>45</v>
      </c>
      <c r="G40" s="34" t="str">
        <f>總表!H49</f>
        <v>第4桌</v>
      </c>
      <c r="H40" s="34" t="str">
        <f>總表!I49</f>
        <v>第7桌</v>
      </c>
    </row>
    <row r="41" spans="1:8">
      <c r="A41" s="34" t="str">
        <f>總表!O50</f>
        <v>第1車</v>
      </c>
      <c r="B41" s="35" t="str">
        <f>總表!C50</f>
        <v>潘韻竹</v>
      </c>
      <c r="C41" s="35" t="str">
        <f>總表!D50</f>
        <v>富則通訊處</v>
      </c>
      <c r="D41" s="34" t="str">
        <f>總表!E50</f>
        <v>女</v>
      </c>
      <c r="E41" s="34" t="str">
        <f>總表!A50</f>
        <v>23</v>
      </c>
      <c r="F41" s="34" t="str">
        <f>總表!B50</f>
        <v>46</v>
      </c>
      <c r="G41" s="34" t="str">
        <f>總表!H50</f>
        <v>第4桌</v>
      </c>
      <c r="H41" s="34" t="str">
        <f>總表!I50</f>
        <v>第8桌</v>
      </c>
    </row>
    <row r="42" spans="1:8">
      <c r="A42" s="34" t="str">
        <f>總表!O55</f>
        <v>第1車</v>
      </c>
      <c r="B42" s="35" t="str">
        <f>總表!C55</f>
        <v>顏明儀</v>
      </c>
      <c r="C42" s="35" t="str">
        <f>總表!D55</f>
        <v>富則通訊處</v>
      </c>
      <c r="D42" s="34" t="str">
        <f>總表!E55</f>
        <v>女</v>
      </c>
      <c r="E42" s="34" t="str">
        <f>總表!A55</f>
        <v>26</v>
      </c>
      <c r="F42" s="34" t="str">
        <f>總表!B55</f>
        <v>51</v>
      </c>
      <c r="G42" s="34" t="str">
        <f>總表!H55</f>
        <v>第4桌</v>
      </c>
      <c r="H42" s="34" t="str">
        <f>總表!I55</f>
        <v>第2桌</v>
      </c>
    </row>
    <row r="43" spans="1:8">
      <c r="A43" s="34" t="str">
        <f>總表!O56</f>
        <v>第1車</v>
      </c>
      <c r="B43" s="35" t="str">
        <f>總表!C56</f>
        <v>王思嵐</v>
      </c>
      <c r="C43" s="35" t="str">
        <f>總表!D56</f>
        <v>富則通訊處</v>
      </c>
      <c r="D43" s="34" t="str">
        <f>總表!E56</f>
        <v>女</v>
      </c>
      <c r="E43" s="34" t="str">
        <f>總表!A56</f>
        <v>26</v>
      </c>
      <c r="F43" s="34" t="str">
        <f>總表!B56</f>
        <v>52</v>
      </c>
      <c r="G43" s="34" t="str">
        <f>總表!H56</f>
        <v>第4桌</v>
      </c>
      <c r="H43" s="34" t="str">
        <f>總表!I56</f>
        <v>第8桌</v>
      </c>
    </row>
    <row r="44" spans="1:8">
      <c r="A44" s="34" t="str">
        <f>總表!O68</f>
        <v>第1車</v>
      </c>
      <c r="B44" s="35" t="str">
        <f>總表!C68</f>
        <v>王銘宏</v>
      </c>
      <c r="C44" s="35" t="str">
        <f>總表!D68</f>
        <v>富則通訊處</v>
      </c>
      <c r="D44" s="34" t="str">
        <f>總表!E68</f>
        <v>男</v>
      </c>
      <c r="E44" s="34" t="str">
        <f>總表!A68</f>
        <v>32</v>
      </c>
      <c r="F44" s="34" t="str">
        <f>總表!B68</f>
        <v>64</v>
      </c>
      <c r="G44" s="34" t="str">
        <f>總表!H68</f>
        <v>第5桌</v>
      </c>
      <c r="H44" s="34" t="str">
        <f>總表!I68</f>
        <v>第3桌</v>
      </c>
    </row>
    <row r="45" spans="1:8">
      <c r="A45" s="34" t="str">
        <f>總表!O84</f>
        <v>第1車</v>
      </c>
      <c r="B45" s="35" t="str">
        <f>總表!C84</f>
        <v>王原軍</v>
      </c>
      <c r="C45" s="35" t="str">
        <f>總表!D84</f>
        <v>中沐通訊處</v>
      </c>
      <c r="D45" s="34" t="str">
        <f>總表!E84</f>
        <v>男</v>
      </c>
      <c r="E45" s="34" t="str">
        <f>總表!A84</f>
        <v>40</v>
      </c>
      <c r="F45" s="34" t="str">
        <f>總表!B84</f>
        <v>80</v>
      </c>
      <c r="G45" s="34" t="str">
        <f>總表!H84</f>
        <v>第6桌</v>
      </c>
      <c r="H45" s="34" t="str">
        <f>總表!I84</f>
        <v>主桌</v>
      </c>
    </row>
    <row r="46" spans="1:8">
      <c r="A46" s="34" t="str">
        <f>總表!O83</f>
        <v>第1車</v>
      </c>
      <c r="B46" s="35" t="str">
        <f>總表!C83</f>
        <v>曾翊雯</v>
      </c>
      <c r="C46" s="35" t="str">
        <f>總表!D83</f>
        <v>中沐通訊處</v>
      </c>
      <c r="D46" s="34" t="str">
        <f>總表!E83</f>
        <v>女</v>
      </c>
      <c r="E46" s="34" t="str">
        <f>總表!A83</f>
        <v>40</v>
      </c>
      <c r="F46" s="34" t="str">
        <f>總表!B83</f>
        <v>79</v>
      </c>
      <c r="G46" s="34" t="str">
        <f>總表!H83</f>
        <v>第6桌</v>
      </c>
      <c r="H46" s="34" t="str">
        <f>總表!I83</f>
        <v>第4桌</v>
      </c>
    </row>
    <row r="47" spans="1:8">
      <c r="A47" s="34" t="str">
        <f>總表!O39</f>
        <v>第2車</v>
      </c>
      <c r="B47" s="35" t="str">
        <f>總表!C39</f>
        <v>鄭丞哲</v>
      </c>
      <c r="C47" s="35" t="str">
        <f>總表!D39</f>
        <v>富吳通訊處</v>
      </c>
      <c r="D47" s="34" t="str">
        <f>總表!E39</f>
        <v>男</v>
      </c>
      <c r="E47" s="34" t="str">
        <f>總表!A39</f>
        <v>18</v>
      </c>
      <c r="F47" s="34" t="str">
        <f>總表!B39</f>
        <v>35</v>
      </c>
      <c r="G47" s="34" t="str">
        <f>總表!H39</f>
        <v>第5桌</v>
      </c>
      <c r="H47" s="34" t="str">
        <f>總表!I39</f>
        <v>第1桌</v>
      </c>
    </row>
    <row r="48" spans="1:8">
      <c r="A48" s="34" t="str">
        <f>總表!O63</f>
        <v>第2車</v>
      </c>
      <c r="B48" s="35" t="str">
        <f>總表!C63</f>
        <v>李孟珊</v>
      </c>
      <c r="C48" s="35" t="str">
        <f>總表!D63</f>
        <v>富則通訊處</v>
      </c>
      <c r="D48" s="34" t="str">
        <f>總表!E63</f>
        <v>女</v>
      </c>
      <c r="E48" s="34" t="str">
        <f>總表!A63</f>
        <v>30</v>
      </c>
      <c r="F48" s="34" t="str">
        <f>總表!B63</f>
        <v>59</v>
      </c>
      <c r="G48" s="34" t="str">
        <f>總表!H63</f>
        <v>第5桌</v>
      </c>
      <c r="H48" s="34" t="str">
        <f>總表!I63</f>
        <v>第5桌</v>
      </c>
    </row>
    <row r="49" spans="1:8">
      <c r="A49" s="34" t="str">
        <f>總表!O67</f>
        <v>第2車</v>
      </c>
      <c r="B49" s="35" t="str">
        <f>總表!C67</f>
        <v>高智源</v>
      </c>
      <c r="C49" s="35" t="str">
        <f>總表!D67</f>
        <v>富則通訊處</v>
      </c>
      <c r="D49" s="34" t="str">
        <f>總表!E67</f>
        <v>男</v>
      </c>
      <c r="E49" s="34" t="str">
        <f>總表!A67</f>
        <v>32</v>
      </c>
      <c r="F49" s="34" t="str">
        <f>總表!B67</f>
        <v>63</v>
      </c>
      <c r="G49" s="34" t="str">
        <f>總表!H67</f>
        <v>第5桌</v>
      </c>
      <c r="H49" s="34" t="str">
        <f>總表!I67</f>
        <v>第2桌</v>
      </c>
    </row>
    <row r="50" spans="1:8">
      <c r="A50" s="34" t="str">
        <f>總表!O25</f>
        <v>第2車</v>
      </c>
      <c r="B50" s="35" t="str">
        <f>總表!C25</f>
        <v>賴含怡</v>
      </c>
      <c r="C50" s="35" t="str">
        <f>總表!D25</f>
        <v>富則通訊處</v>
      </c>
      <c r="D50" s="34" t="str">
        <f>總表!E25</f>
        <v>女</v>
      </c>
      <c r="E50" s="34" t="str">
        <f>總表!A25</f>
        <v>11</v>
      </c>
      <c r="F50" s="34" t="str">
        <f>總表!B25</f>
        <v>21</v>
      </c>
      <c r="G50" s="34" t="str">
        <f>總表!H25</f>
        <v>第5桌</v>
      </c>
      <c r="H50" s="34" t="str">
        <f>總表!I25</f>
        <v>第4桌</v>
      </c>
    </row>
    <row r="51" spans="1:8">
      <c r="A51" s="34" t="str">
        <f>總表!O57</f>
        <v>第2車</v>
      </c>
      <c r="B51" s="35" t="str">
        <f>總表!C57</f>
        <v>吳品萱</v>
      </c>
      <c r="C51" s="35" t="str">
        <f>總表!D57</f>
        <v>富則通訊處</v>
      </c>
      <c r="D51" s="34" t="str">
        <f>總表!E57</f>
        <v>女</v>
      </c>
      <c r="E51" s="34" t="str">
        <f>總表!A57</f>
        <v>27</v>
      </c>
      <c r="F51" s="34" t="str">
        <f>總表!B57</f>
        <v>53</v>
      </c>
      <c r="G51" s="34" t="str">
        <f>總表!H57</f>
        <v>第5桌</v>
      </c>
      <c r="H51" s="34" t="str">
        <f>總表!I57</f>
        <v>第6桌</v>
      </c>
    </row>
    <row r="52" spans="1:8">
      <c r="A52" s="34" t="str">
        <f>總表!O89</f>
        <v>第2車</v>
      </c>
      <c r="B52" s="35" t="str">
        <f>總表!C89</f>
        <v>吳修毅</v>
      </c>
      <c r="C52" s="35" t="str">
        <f>總表!D89</f>
        <v>富吳通訊處</v>
      </c>
      <c r="D52" s="34" t="str">
        <f>總表!E89</f>
        <v>男</v>
      </c>
      <c r="E52" s="34" t="str">
        <f>總表!A89</f>
        <v>44</v>
      </c>
      <c r="F52" s="34">
        <f>總表!B89</f>
        <v>85</v>
      </c>
      <c r="G52" s="34" t="str">
        <f>總表!H89</f>
        <v>第5桌</v>
      </c>
      <c r="H52" s="34" t="str">
        <f>總表!I89</f>
        <v>主桌</v>
      </c>
    </row>
    <row r="53" spans="1:8">
      <c r="A53" s="34" t="str">
        <f>總表!O40</f>
        <v>第2車</v>
      </c>
      <c r="B53" s="35" t="str">
        <f>總表!C40</f>
        <v>謝宇軒</v>
      </c>
      <c r="C53" s="35" t="str">
        <f>總表!D40</f>
        <v>富吳通訊處</v>
      </c>
      <c r="D53" s="34" t="str">
        <f>總表!E40</f>
        <v>男</v>
      </c>
      <c r="E53" s="34" t="str">
        <f>總表!A40</f>
        <v>18</v>
      </c>
      <c r="F53" s="34" t="str">
        <f>總表!B40</f>
        <v>36</v>
      </c>
      <c r="G53" s="34" t="str">
        <f>總表!H40</f>
        <v>第5桌</v>
      </c>
      <c r="H53" s="34" t="str">
        <f>總表!I40</f>
        <v>第7桌</v>
      </c>
    </row>
    <row r="54" spans="1:8">
      <c r="A54" s="34" t="str">
        <f>總表!O60</f>
        <v>第2車</v>
      </c>
      <c r="B54" s="35" t="str">
        <f>總表!C60</f>
        <v>余若馨</v>
      </c>
      <c r="C54" s="35" t="str">
        <f>總表!D60</f>
        <v>富則通訊處</v>
      </c>
      <c r="D54" s="34" t="str">
        <f>總表!E60</f>
        <v>女</v>
      </c>
      <c r="E54" s="34" t="str">
        <f>總表!A60</f>
        <v>28</v>
      </c>
      <c r="F54" s="34" t="str">
        <f>總表!B60</f>
        <v>56</v>
      </c>
      <c r="G54" s="34" t="str">
        <f>總表!H60</f>
        <v>第5桌</v>
      </c>
      <c r="H54" s="34" t="str">
        <f>總表!I60</f>
        <v>第7桌</v>
      </c>
    </row>
    <row r="55" spans="1:8">
      <c r="A55" s="34" t="str">
        <f>總表!O59</f>
        <v>第2車</v>
      </c>
      <c r="B55" s="35" t="str">
        <f>總表!C59</f>
        <v>余妏珊</v>
      </c>
      <c r="C55" s="35" t="str">
        <f>總表!D59</f>
        <v>富則通訊處</v>
      </c>
      <c r="D55" s="34" t="str">
        <f>總表!E59</f>
        <v>女</v>
      </c>
      <c r="E55" s="34" t="str">
        <f>總表!A59</f>
        <v>28</v>
      </c>
      <c r="F55" s="34" t="str">
        <f>總表!B59</f>
        <v>55</v>
      </c>
      <c r="G55" s="34" t="str">
        <f>總表!H59</f>
        <v>第5桌</v>
      </c>
      <c r="H55" s="34" t="str">
        <f>總表!I59</f>
        <v>第1桌</v>
      </c>
    </row>
    <row r="56" spans="1:8">
      <c r="A56" s="34" t="str">
        <f>總表!O17</f>
        <v>第2車</v>
      </c>
      <c r="B56" s="35" t="str">
        <f>總表!C17</f>
        <v>陳武均</v>
      </c>
      <c r="C56" s="35" t="str">
        <f>總表!D17</f>
        <v>富予二通訊處</v>
      </c>
      <c r="D56" s="34" t="str">
        <f>總表!E17</f>
        <v>男</v>
      </c>
      <c r="E56" s="34" t="str">
        <f>總表!A17</f>
        <v>7</v>
      </c>
      <c r="F56" s="34" t="str">
        <f>總表!B17</f>
        <v>13</v>
      </c>
      <c r="G56" s="34" t="str">
        <f>總表!H17</f>
        <v>第6桌</v>
      </c>
      <c r="H56" s="34" t="str">
        <f>總表!I17</f>
        <v>第5桌</v>
      </c>
    </row>
    <row r="57" spans="1:8">
      <c r="A57" s="34" t="str">
        <f>總表!O18</f>
        <v>第2車</v>
      </c>
      <c r="B57" s="35" t="str">
        <f>總表!C18</f>
        <v>陳尚禾</v>
      </c>
      <c r="C57" s="35" t="str">
        <f>總表!D18</f>
        <v>富予二通訊處</v>
      </c>
      <c r="D57" s="34" t="str">
        <f>總表!E18</f>
        <v>男</v>
      </c>
      <c r="E57" s="34" t="str">
        <f>總表!A18</f>
        <v>7</v>
      </c>
      <c r="F57" s="34" t="str">
        <f>總表!B18</f>
        <v>14</v>
      </c>
      <c r="G57" s="34" t="str">
        <f>總表!H18</f>
        <v>第6桌</v>
      </c>
      <c r="H57" s="34" t="str">
        <f>總表!I18</f>
        <v>第5桌</v>
      </c>
    </row>
    <row r="58" spans="1:8">
      <c r="A58" s="34" t="str">
        <f>總表!O21</f>
        <v>第2車</v>
      </c>
      <c r="B58" s="35" t="str">
        <f>總表!C21</f>
        <v>賴芯甯</v>
      </c>
      <c r="C58" s="35" t="str">
        <f>總表!D21</f>
        <v>富予二通訊處</v>
      </c>
      <c r="D58" s="34" t="str">
        <f>總表!E21</f>
        <v>女</v>
      </c>
      <c r="E58" s="34" t="str">
        <f>總表!A21</f>
        <v>9</v>
      </c>
      <c r="F58" s="34" t="str">
        <f>總表!B21</f>
        <v>17</v>
      </c>
      <c r="G58" s="34" t="str">
        <f>總表!H21</f>
        <v>第6桌</v>
      </c>
      <c r="H58" s="34" t="str">
        <f>總表!I21</f>
        <v>第2桌</v>
      </c>
    </row>
    <row r="59" spans="1:8">
      <c r="A59" s="34" t="str">
        <f>總表!O19</f>
        <v>第2車</v>
      </c>
      <c r="B59" s="35" t="str">
        <f>總表!C19</f>
        <v>陳昶聿</v>
      </c>
      <c r="C59" s="35" t="str">
        <f>總表!D19</f>
        <v>富予二通訊處</v>
      </c>
      <c r="D59" s="34" t="str">
        <f>總表!E19</f>
        <v>男</v>
      </c>
      <c r="E59" s="34" t="str">
        <f>總表!A19</f>
        <v>8</v>
      </c>
      <c r="F59" s="34" t="str">
        <f>總表!B19</f>
        <v>15</v>
      </c>
      <c r="G59" s="34" t="str">
        <f>總表!H19</f>
        <v>第6桌</v>
      </c>
      <c r="H59" s="34" t="str">
        <f>總表!I19</f>
        <v>第7桌</v>
      </c>
    </row>
    <row r="60" spans="1:8">
      <c r="A60" s="34" t="str">
        <f>總表!O23</f>
        <v>第2車</v>
      </c>
      <c r="B60" s="35" t="str">
        <f>總表!C23</f>
        <v>許瓊云</v>
      </c>
      <c r="C60" s="35" t="str">
        <f>總表!D23</f>
        <v>富予二通訊處</v>
      </c>
      <c r="D60" s="34" t="str">
        <f>總表!E23</f>
        <v>女</v>
      </c>
      <c r="E60" s="34" t="str">
        <f>總表!A23</f>
        <v>10</v>
      </c>
      <c r="F60" s="34" t="str">
        <f>總表!B23</f>
        <v>19</v>
      </c>
      <c r="G60" s="34" t="str">
        <f>總表!H23</f>
        <v>第6桌</v>
      </c>
      <c r="H60" s="34" t="str">
        <f>總表!I23</f>
        <v>第6桌</v>
      </c>
    </row>
    <row r="61" spans="1:8">
      <c r="A61" s="34" t="str">
        <f>總表!O20</f>
        <v>第2車</v>
      </c>
      <c r="B61" s="35" t="str">
        <f>總表!C20</f>
        <v>宋里安</v>
      </c>
      <c r="C61" s="35" t="str">
        <f>總表!D20</f>
        <v>富予二通訊處</v>
      </c>
      <c r="D61" s="34" t="str">
        <f>總表!E20</f>
        <v>男</v>
      </c>
      <c r="E61" s="34" t="str">
        <f>總表!A20</f>
        <v>8</v>
      </c>
      <c r="F61" s="34" t="str">
        <f>總表!B20</f>
        <v>16</v>
      </c>
      <c r="G61" s="34" t="str">
        <f>總表!H20</f>
        <v>第6桌</v>
      </c>
      <c r="H61" s="34" t="str">
        <f>總表!I20</f>
        <v>第3桌</v>
      </c>
    </row>
    <row r="62" spans="1:8">
      <c r="A62" s="34" t="str">
        <f>總表!O22</f>
        <v>第2車</v>
      </c>
      <c r="B62" s="35" t="str">
        <f>總表!C22</f>
        <v>高泰琳</v>
      </c>
      <c r="C62" s="35" t="str">
        <f>總表!D22</f>
        <v>富予二通訊處</v>
      </c>
      <c r="D62" s="34" t="str">
        <f>總表!E22</f>
        <v>女</v>
      </c>
      <c r="E62" s="34" t="str">
        <f>總表!A22</f>
        <v>9</v>
      </c>
      <c r="F62" s="34" t="str">
        <f>總表!B22</f>
        <v>18</v>
      </c>
      <c r="G62" s="34" t="str">
        <f>總表!H22</f>
        <v>第6桌</v>
      </c>
      <c r="H62" s="34" t="str">
        <f>總表!I22</f>
        <v>第4桌</v>
      </c>
    </row>
    <row r="63" spans="1:8">
      <c r="A63" s="34" t="str">
        <f>總表!O69</f>
        <v>第2車</v>
      </c>
      <c r="B63" s="35" t="str">
        <f>總表!C69</f>
        <v>洪敬忠</v>
      </c>
      <c r="C63" s="35" t="str">
        <f>總表!D69</f>
        <v>富則六通訊處</v>
      </c>
      <c r="D63" s="34" t="str">
        <f>總表!E69</f>
        <v>男</v>
      </c>
      <c r="E63" s="34" t="str">
        <f>總表!A69</f>
        <v>33</v>
      </c>
      <c r="F63" s="34" t="str">
        <f>總表!B69</f>
        <v>65</v>
      </c>
      <c r="G63" s="34" t="str">
        <f>總表!H69</f>
        <v>第7桌</v>
      </c>
      <c r="H63" s="34" t="str">
        <f>總表!I69</f>
        <v>第6桌</v>
      </c>
    </row>
    <row r="64" spans="1:8">
      <c r="A64" s="34" t="str">
        <f>總表!O64</f>
        <v>第2車</v>
      </c>
      <c r="B64" s="35" t="str">
        <f>總表!C64</f>
        <v>黃馨葦</v>
      </c>
      <c r="C64" s="35" t="str">
        <f>總表!D64</f>
        <v>富則通訊處</v>
      </c>
      <c r="D64" s="34" t="str">
        <f>總表!E64</f>
        <v>女</v>
      </c>
      <c r="E64" s="34" t="str">
        <f>總表!A64</f>
        <v>30</v>
      </c>
      <c r="F64" s="34" t="str">
        <f>總表!B64</f>
        <v>60</v>
      </c>
      <c r="G64" s="34" t="str">
        <f>總表!H64</f>
        <v>第7桌</v>
      </c>
      <c r="H64" s="34" t="str">
        <f>總表!I64</f>
        <v>第5桌</v>
      </c>
    </row>
    <row r="65" spans="1:8">
      <c r="A65" s="34" t="str">
        <f>總表!O48</f>
        <v>第2車</v>
      </c>
      <c r="B65" s="35" t="str">
        <f>總表!C48</f>
        <v>林桂安</v>
      </c>
      <c r="C65" s="35" t="str">
        <f>總表!D48</f>
        <v>富則通訊處</v>
      </c>
      <c r="D65" s="34" t="str">
        <f>總表!E48</f>
        <v>女</v>
      </c>
      <c r="E65" s="34" t="str">
        <f>總表!A48</f>
        <v>22</v>
      </c>
      <c r="F65" s="34" t="str">
        <f>總表!B48</f>
        <v>44</v>
      </c>
      <c r="G65" s="34" t="str">
        <f>總表!H48</f>
        <v>第7桌</v>
      </c>
      <c r="H65" s="34" t="str">
        <f>總表!I48</f>
        <v>第3桌</v>
      </c>
    </row>
    <row r="66" spans="1:8">
      <c r="A66" s="34" t="str">
        <f>總表!O70</f>
        <v>第2車</v>
      </c>
      <c r="B66" s="35" t="str">
        <f>總表!C70</f>
        <v>廖宇翔</v>
      </c>
      <c r="C66" s="35" t="str">
        <f>總表!D70</f>
        <v>富則六通訊處</v>
      </c>
      <c r="D66" s="34" t="str">
        <f>總表!E70</f>
        <v>男</v>
      </c>
      <c r="E66" s="34" t="str">
        <f>總表!A70</f>
        <v>33</v>
      </c>
      <c r="F66" s="34" t="str">
        <f>總表!B70</f>
        <v>66</v>
      </c>
      <c r="G66" s="34" t="str">
        <f>總表!H70</f>
        <v>第7桌</v>
      </c>
      <c r="H66" s="34" t="str">
        <f>總表!I70</f>
        <v>第4桌</v>
      </c>
    </row>
    <row r="67" spans="1:8">
      <c r="A67" s="34" t="str">
        <f>總表!O46</f>
        <v>第2車</v>
      </c>
      <c r="B67" s="35" t="str">
        <f>總表!C46</f>
        <v>王昱文</v>
      </c>
      <c r="C67" s="35" t="str">
        <f>總表!D46</f>
        <v>富則通訊處</v>
      </c>
      <c r="D67" s="34" t="str">
        <f>總表!E46</f>
        <v>男</v>
      </c>
      <c r="E67" s="34" t="str">
        <f>總表!A46</f>
        <v>21</v>
      </c>
      <c r="F67" s="34" t="str">
        <f>總表!B46</f>
        <v>42</v>
      </c>
      <c r="G67" s="34" t="str">
        <f>總表!H46</f>
        <v>第7桌</v>
      </c>
      <c r="H67" s="34" t="str">
        <f>總表!I46</f>
        <v>第9桌</v>
      </c>
    </row>
    <row r="68" spans="1:8">
      <c r="A68" s="34" t="str">
        <f>總表!O62</f>
        <v>第2車</v>
      </c>
      <c r="B68" s="35" t="str">
        <f>總表!C62</f>
        <v>李婕詠</v>
      </c>
      <c r="C68" s="35" t="str">
        <f>總表!D62</f>
        <v>富則通訊處</v>
      </c>
      <c r="D68" s="34" t="str">
        <f>總表!E62</f>
        <v>女</v>
      </c>
      <c r="E68" s="34" t="str">
        <f>總表!A62</f>
        <v>29</v>
      </c>
      <c r="F68" s="34" t="str">
        <f>總表!B62</f>
        <v>58</v>
      </c>
      <c r="G68" s="34" t="str">
        <f>總表!H62</f>
        <v>第7桌</v>
      </c>
      <c r="H68" s="34" t="str">
        <f>總表!I62</f>
        <v>第1桌</v>
      </c>
    </row>
    <row r="69" spans="1:8">
      <c r="A69" s="34" t="str">
        <f>總表!O58</f>
        <v>第2車</v>
      </c>
      <c r="B69" s="35" t="str">
        <f>總表!C58</f>
        <v>林芳誼</v>
      </c>
      <c r="C69" s="35" t="str">
        <f>總表!D58</f>
        <v>富則通訊處</v>
      </c>
      <c r="D69" s="34" t="str">
        <f>總表!E58</f>
        <v>女</v>
      </c>
      <c r="E69" s="34" t="str">
        <f>總表!A58</f>
        <v>27</v>
      </c>
      <c r="F69" s="34" t="str">
        <f>總表!B58</f>
        <v>54</v>
      </c>
      <c r="G69" s="34" t="str">
        <f>總表!H58</f>
        <v>第7桌</v>
      </c>
      <c r="H69" s="34" t="str">
        <f>總表!I58</f>
        <v>第5桌</v>
      </c>
    </row>
    <row r="70" spans="1:8">
      <c r="A70" s="34" t="str">
        <f>總表!O61</f>
        <v>第2車</v>
      </c>
      <c r="B70" s="35" t="str">
        <f>總表!C61</f>
        <v>吳沛錞</v>
      </c>
      <c r="C70" s="35" t="str">
        <f>總表!D61</f>
        <v>富則通訊處</v>
      </c>
      <c r="D70" s="34" t="str">
        <f>總表!E61</f>
        <v>女</v>
      </c>
      <c r="E70" s="34" t="str">
        <f>總表!A61</f>
        <v>29</v>
      </c>
      <c r="F70" s="34" t="str">
        <f>總表!B61</f>
        <v>57</v>
      </c>
      <c r="G70" s="34" t="str">
        <f>總表!H61</f>
        <v>第7桌</v>
      </c>
      <c r="H70" s="34" t="str">
        <f>總表!I61</f>
        <v>第4桌</v>
      </c>
    </row>
    <row r="71" spans="1:8">
      <c r="A71" s="34" t="str">
        <f>總表!O29</f>
        <v>第2車</v>
      </c>
      <c r="B71" s="35" t="str">
        <f>總表!C29</f>
        <v>王騌捷</v>
      </c>
      <c r="C71" s="35" t="str">
        <f>總表!D29</f>
        <v>富吳通訊處</v>
      </c>
      <c r="D71" s="34" t="str">
        <f>總表!E29</f>
        <v>男</v>
      </c>
      <c r="E71" s="34" t="str">
        <f>總表!A29</f>
        <v>13</v>
      </c>
      <c r="F71" s="34" t="str">
        <f>總表!B29</f>
        <v>25</v>
      </c>
      <c r="G71" s="34" t="str">
        <f>總表!H29</f>
        <v>第8桌</v>
      </c>
      <c r="H71" s="34" t="str">
        <f>總表!I29</f>
        <v>第1桌</v>
      </c>
    </row>
    <row r="72" spans="1:8">
      <c r="A72" s="34" t="str">
        <f>總表!O24</f>
        <v>第2車</v>
      </c>
      <c r="B72" s="35" t="str">
        <f>總表!C24</f>
        <v>王姵慈</v>
      </c>
      <c r="C72" s="35" t="str">
        <f>總表!D24</f>
        <v>富吳通訊處</v>
      </c>
      <c r="D72" s="34" t="str">
        <f>總表!E24</f>
        <v>女</v>
      </c>
      <c r="E72" s="34" t="str">
        <f>總表!A24</f>
        <v>10</v>
      </c>
      <c r="F72" s="34" t="str">
        <f>總表!B24</f>
        <v>20</v>
      </c>
      <c r="G72" s="34" t="str">
        <f>總表!H24</f>
        <v>第8桌</v>
      </c>
      <c r="H72" s="34" t="str">
        <f>總表!I24</f>
        <v>第2桌</v>
      </c>
    </row>
    <row r="73" spans="1:8">
      <c r="A73" s="34" t="str">
        <f>總表!O44</f>
        <v>第2車</v>
      </c>
      <c r="B73" s="35" t="str">
        <f>總表!C44</f>
        <v>侯宏詣</v>
      </c>
      <c r="C73" s="35" t="str">
        <f>總表!D44</f>
        <v>富則通訊處</v>
      </c>
      <c r="D73" s="34" t="str">
        <f>總表!E44</f>
        <v>男</v>
      </c>
      <c r="E73" s="34" t="str">
        <f>總表!A44</f>
        <v>20</v>
      </c>
      <c r="F73" s="34" t="str">
        <f>總表!B44</f>
        <v>40</v>
      </c>
      <c r="G73" s="34" t="str">
        <f>總表!H44</f>
        <v>第8桌</v>
      </c>
      <c r="H73" s="34" t="str">
        <f>總表!I44</f>
        <v>第2桌</v>
      </c>
    </row>
    <row r="74" spans="1:8">
      <c r="A74" s="34" t="str">
        <f>總表!O42</f>
        <v>第2車</v>
      </c>
      <c r="B74" s="35" t="str">
        <f>總表!C42</f>
        <v>徐瀚</v>
      </c>
      <c r="C74" s="35" t="str">
        <f>總表!D42</f>
        <v>富吳通訊處</v>
      </c>
      <c r="D74" s="34" t="str">
        <f>總表!E42</f>
        <v>男</v>
      </c>
      <c r="E74" s="34" t="str">
        <f>總表!A42</f>
        <v>19</v>
      </c>
      <c r="F74" s="34" t="str">
        <f>總表!B42</f>
        <v>38</v>
      </c>
      <c r="G74" s="34" t="str">
        <f>總表!H42</f>
        <v>第8桌</v>
      </c>
      <c r="H74" s="34" t="str">
        <f>總表!I42</f>
        <v>第9桌</v>
      </c>
    </row>
    <row r="75" spans="1:8">
      <c r="A75" s="34" t="str">
        <f>總表!O38</f>
        <v>第2車</v>
      </c>
      <c r="B75" s="35" t="str">
        <f>總表!C38</f>
        <v>黃彥融</v>
      </c>
      <c r="C75" s="35" t="str">
        <f>總表!D38</f>
        <v>富吳通訊處</v>
      </c>
      <c r="D75" s="34" t="str">
        <f>總表!E38</f>
        <v>男</v>
      </c>
      <c r="E75" s="34" t="str">
        <f>總表!A38</f>
        <v>17</v>
      </c>
      <c r="F75" s="34" t="str">
        <f>總表!B38</f>
        <v>34</v>
      </c>
      <c r="G75" s="34" t="str">
        <f>總表!H38</f>
        <v>第8桌</v>
      </c>
      <c r="H75" s="34" t="str">
        <f>總表!I38</f>
        <v>第3桌</v>
      </c>
    </row>
    <row r="76" spans="1:8">
      <c r="A76" s="34" t="str">
        <f>總表!O41</f>
        <v>第2車</v>
      </c>
      <c r="B76" s="35" t="str">
        <f>總表!C41</f>
        <v>戴孜安</v>
      </c>
      <c r="C76" s="35" t="str">
        <f>總表!D41</f>
        <v>富吳通訊處</v>
      </c>
      <c r="D76" s="34" t="str">
        <f>總表!E41</f>
        <v>女</v>
      </c>
      <c r="E76" s="34" t="str">
        <f>總表!A41</f>
        <v>19</v>
      </c>
      <c r="F76" s="34" t="str">
        <f>總表!B41</f>
        <v>37</v>
      </c>
      <c r="G76" s="34" t="str">
        <f>總表!H41</f>
        <v>第8桌</v>
      </c>
      <c r="H76" s="34" t="str">
        <f>總表!I41</f>
        <v>第7桌</v>
      </c>
    </row>
    <row r="77" spans="1:8">
      <c r="A77" s="34" t="str">
        <f>總表!O37</f>
        <v>第2車</v>
      </c>
      <c r="B77" s="35" t="str">
        <f>總表!C37</f>
        <v>李奕寬</v>
      </c>
      <c r="C77" s="35" t="str">
        <f>總表!D37</f>
        <v>富吳通訊處</v>
      </c>
      <c r="D77" s="34" t="str">
        <f>總表!E37</f>
        <v>男</v>
      </c>
      <c r="E77" s="34" t="str">
        <f>總表!A37</f>
        <v>17</v>
      </c>
      <c r="F77" s="34" t="str">
        <f>總表!B37</f>
        <v>33</v>
      </c>
      <c r="G77" s="34" t="str">
        <f>總表!H37</f>
        <v>第8桌</v>
      </c>
      <c r="H77" s="34" t="str">
        <f>總表!I37</f>
        <v>第8桌</v>
      </c>
    </row>
    <row r="78" spans="1:8">
      <c r="A78" s="34" t="str">
        <f>總表!O43</f>
        <v>第2車</v>
      </c>
      <c r="B78" s="35" t="str">
        <f>總表!C43</f>
        <v>許嘉晉</v>
      </c>
      <c r="C78" s="35" t="str">
        <f>總表!D43</f>
        <v>富則通訊處</v>
      </c>
      <c r="D78" s="34" t="str">
        <f>總表!E43</f>
        <v>男</v>
      </c>
      <c r="E78" s="34" t="str">
        <f>總表!A43</f>
        <v>20</v>
      </c>
      <c r="F78" s="34" t="str">
        <f>總表!B43</f>
        <v>39</v>
      </c>
      <c r="G78" s="34" t="str">
        <f>總表!H43</f>
        <v>第8桌</v>
      </c>
      <c r="H78" s="34" t="str">
        <f>總表!I43</f>
        <v>第6桌</v>
      </c>
    </row>
    <row r="79" spans="1:8">
      <c r="A79" s="34" t="str">
        <f>總表!O36</f>
        <v>第2車</v>
      </c>
      <c r="B79" s="35" t="str">
        <f>總表!C36</f>
        <v>林建璋</v>
      </c>
      <c r="C79" s="35" t="str">
        <f>總表!D36</f>
        <v>富吳通訊處</v>
      </c>
      <c r="D79" s="34" t="str">
        <f>總表!E36</f>
        <v>男</v>
      </c>
      <c r="E79" s="34" t="str">
        <f>總表!A36</f>
        <v>16</v>
      </c>
      <c r="F79" s="34" t="str">
        <f>總表!B36</f>
        <v>32</v>
      </c>
      <c r="G79" s="34" t="str">
        <f>總表!H36</f>
        <v>第8桌</v>
      </c>
      <c r="H79" s="34" t="str">
        <f>總表!I36</f>
        <v>第6桌</v>
      </c>
    </row>
    <row r="80" spans="1:8">
      <c r="A80" s="34" t="str">
        <f>總表!O88</f>
        <v>第2車</v>
      </c>
      <c r="B80" s="35" t="str">
        <f>總表!C88</f>
        <v>邱仲恩</v>
      </c>
      <c r="C80" s="35" t="str">
        <f>總表!D88</f>
        <v>富吳通訊處</v>
      </c>
      <c r="D80" s="34" t="str">
        <f>總表!E88</f>
        <v>男</v>
      </c>
      <c r="E80" s="34" t="str">
        <f>總表!A88</f>
        <v>43</v>
      </c>
      <c r="F80" s="34" t="str">
        <f>總表!B88</f>
        <v>84</v>
      </c>
      <c r="G80" s="34" t="str">
        <f>總表!H88</f>
        <v>第8桌</v>
      </c>
      <c r="H80" s="34" t="str">
        <f>總表!I88</f>
        <v>第5桌</v>
      </c>
    </row>
    <row r="81" spans="1:8">
      <c r="A81" s="34" t="str">
        <f>總表!O27</f>
        <v>第2車</v>
      </c>
      <c r="B81" s="35" t="str">
        <f>總表!C27</f>
        <v>王鄆郅</v>
      </c>
      <c r="C81" s="35" t="str">
        <f>總表!D27</f>
        <v>富吳通訊處</v>
      </c>
      <c r="D81" s="34" t="str">
        <f>總表!E27</f>
        <v>男</v>
      </c>
      <c r="E81" s="34" t="str">
        <f>總表!A27</f>
        <v>12</v>
      </c>
      <c r="F81" s="34" t="str">
        <f>總表!B27</f>
        <v>23</v>
      </c>
      <c r="G81" s="34" t="str">
        <f>總表!H27</f>
        <v>第9桌</v>
      </c>
      <c r="H81" s="34" t="str">
        <f>總表!I27</f>
        <v>第5桌</v>
      </c>
    </row>
    <row r="82" spans="1:8">
      <c r="A82" s="34" t="str">
        <f>總表!O26</f>
        <v>第2車</v>
      </c>
      <c r="B82" s="35" t="str">
        <f>總表!C26</f>
        <v>吳佩姗</v>
      </c>
      <c r="C82" s="35" t="str">
        <f>總表!D26</f>
        <v>富吳通訊處</v>
      </c>
      <c r="D82" s="34" t="str">
        <f>總表!E26</f>
        <v>女</v>
      </c>
      <c r="E82" s="34" t="str">
        <f>總表!A26</f>
        <v>11</v>
      </c>
      <c r="F82" s="34" t="str">
        <f>總表!B26</f>
        <v>22</v>
      </c>
      <c r="G82" s="34" t="str">
        <f>總表!H26</f>
        <v>第9桌</v>
      </c>
      <c r="H82" s="34" t="str">
        <f>總表!I26</f>
        <v>第2桌</v>
      </c>
    </row>
    <row r="83" spans="1:8">
      <c r="A83" s="34" t="str">
        <f>總表!O32</f>
        <v>第2車</v>
      </c>
      <c r="B83" s="35" t="str">
        <f>總表!C32</f>
        <v>陳怡諳</v>
      </c>
      <c r="C83" s="35" t="str">
        <f>總表!D32</f>
        <v>富吳通訊處</v>
      </c>
      <c r="D83" s="34" t="str">
        <f>總表!E32</f>
        <v>女</v>
      </c>
      <c r="E83" s="34" t="str">
        <f>總表!A32</f>
        <v>14</v>
      </c>
      <c r="F83" s="34" t="str">
        <f>總表!B32</f>
        <v>28</v>
      </c>
      <c r="G83" s="34" t="str">
        <f>總表!H32</f>
        <v>第9桌</v>
      </c>
      <c r="H83" s="34" t="str">
        <f>總表!I32</f>
        <v>第8桌</v>
      </c>
    </row>
    <row r="84" spans="1:8">
      <c r="A84" s="34" t="str">
        <f>總表!O33</f>
        <v>第2車</v>
      </c>
      <c r="B84" s="35" t="str">
        <f>總表!C33</f>
        <v>彭莉柔</v>
      </c>
      <c r="C84" s="35" t="str">
        <f>總表!D33</f>
        <v>富吳通訊處</v>
      </c>
      <c r="D84" s="34" t="str">
        <f>總表!E33</f>
        <v>女</v>
      </c>
      <c r="E84" s="34" t="str">
        <f>總表!A33</f>
        <v>15</v>
      </c>
      <c r="F84" s="34" t="str">
        <f>總表!B33</f>
        <v>29</v>
      </c>
      <c r="G84" s="34" t="str">
        <f>總表!H33</f>
        <v>第9桌</v>
      </c>
      <c r="H84" s="34" t="str">
        <f>總表!I33</f>
        <v>第5桌</v>
      </c>
    </row>
    <row r="85" spans="1:8">
      <c r="A85" s="34" t="str">
        <f>總表!O28</f>
        <v>第2車</v>
      </c>
      <c r="B85" s="35" t="str">
        <f>總表!C28</f>
        <v>廖冠傑</v>
      </c>
      <c r="C85" s="35" t="str">
        <f>總表!D28</f>
        <v>富吳通訊處</v>
      </c>
      <c r="D85" s="34" t="str">
        <f>總表!E28</f>
        <v>男</v>
      </c>
      <c r="E85" s="34" t="str">
        <f>總表!A28</f>
        <v>12</v>
      </c>
      <c r="F85" s="34" t="str">
        <f>總表!B28</f>
        <v>24</v>
      </c>
      <c r="G85" s="34" t="str">
        <f>總表!H28</f>
        <v>第9桌</v>
      </c>
      <c r="H85" s="34" t="str">
        <f>總表!I28</f>
        <v>第3桌</v>
      </c>
    </row>
    <row r="86" spans="1:8">
      <c r="A86" s="34" t="str">
        <f>總表!O35</f>
        <v>第2車</v>
      </c>
      <c r="B86" s="35" t="str">
        <f>總表!C35</f>
        <v>周易慶</v>
      </c>
      <c r="C86" s="35" t="str">
        <f>總表!D35</f>
        <v>富吳通訊處</v>
      </c>
      <c r="D86" s="34" t="str">
        <f>總表!E35</f>
        <v>男</v>
      </c>
      <c r="E86" s="34" t="str">
        <f>總表!A35</f>
        <v>16</v>
      </c>
      <c r="F86" s="34" t="str">
        <f>總表!B35</f>
        <v>31</v>
      </c>
      <c r="G86" s="34" t="str">
        <f>總表!H35</f>
        <v>第9桌</v>
      </c>
      <c r="H86" s="34" t="str">
        <f>總表!I35</f>
        <v>第7桌</v>
      </c>
    </row>
    <row r="87" spans="1:8">
      <c r="A87" s="34" t="str">
        <f>總表!O31</f>
        <v>第2車</v>
      </c>
      <c r="B87" s="35" t="str">
        <f>總表!C31</f>
        <v>呂顏伃</v>
      </c>
      <c r="C87" s="35" t="str">
        <f>總表!D31</f>
        <v>富吳通訊處</v>
      </c>
      <c r="D87" s="34" t="str">
        <f>總表!E31</f>
        <v>女</v>
      </c>
      <c r="E87" s="34" t="str">
        <f>總表!A31</f>
        <v>14</v>
      </c>
      <c r="F87" s="34" t="str">
        <f>總表!B31</f>
        <v>27</v>
      </c>
      <c r="G87" s="34" t="str">
        <f>總表!H31</f>
        <v>第9桌</v>
      </c>
      <c r="H87" s="34" t="str">
        <f>總表!I31</f>
        <v>第8桌</v>
      </c>
    </row>
    <row r="88" spans="1:8">
      <c r="A88" s="34" t="str">
        <f>總表!O34</f>
        <v>第2車</v>
      </c>
      <c r="B88" s="35" t="str">
        <f>總表!C34</f>
        <v>陳盈蓁</v>
      </c>
      <c r="C88" s="35" t="str">
        <f>總表!D34</f>
        <v>富吳通訊處</v>
      </c>
      <c r="D88" s="34" t="str">
        <f>總表!E34</f>
        <v>女</v>
      </c>
      <c r="E88" s="34" t="str">
        <f>總表!A34</f>
        <v>15</v>
      </c>
      <c r="F88" s="34" t="str">
        <f>總表!B34</f>
        <v>30</v>
      </c>
      <c r="G88" s="34" t="str">
        <f>總表!H34</f>
        <v>第9桌</v>
      </c>
      <c r="H88" s="34" t="str">
        <f>總表!I34</f>
        <v>第3桌</v>
      </c>
    </row>
    <row r="89" spans="1:8">
      <c r="A89" s="34" t="str">
        <f>總表!O30</f>
        <v>第2車</v>
      </c>
      <c r="B89" s="35" t="str">
        <f>總表!C30</f>
        <v>黃金隆</v>
      </c>
      <c r="C89" s="35" t="str">
        <f>總表!D30</f>
        <v>富吳通訊處</v>
      </c>
      <c r="D89" s="34" t="str">
        <f>總表!E30</f>
        <v>男</v>
      </c>
      <c r="E89" s="34" t="str">
        <f>總表!A30</f>
        <v>13</v>
      </c>
      <c r="F89" s="34" t="str">
        <f>總表!B30</f>
        <v>26</v>
      </c>
      <c r="G89" s="34" t="str">
        <f>總表!H30</f>
        <v>第9桌</v>
      </c>
      <c r="H89" s="34" t="str">
        <f>總表!I30</f>
        <v>第3桌</v>
      </c>
    </row>
  </sheetData>
  <mergeCells count="2">
    <mergeCell ref="A1:H1"/>
    <mergeCell ref="A2:H2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總表</vt:lpstr>
      <vt:lpstr>桌次</vt:lpstr>
      <vt:lpstr>晚宴</vt:lpstr>
      <vt:lpstr>檢核</vt:lpstr>
      <vt:lpstr>遊覽車次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鄭占禮</cp:lastModifiedBy>
  <dcterms:modified xsi:type="dcterms:W3CDTF">2026-07-02T00:59:40Z</dcterms:modified>
</cp:coreProperties>
</file>