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ec97b14aa44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總表" sheetId="1" r:id="R7e1a004ea1344bcf"/>
    <x:sheet xmlns:r="http://schemas.openxmlformats.org/officeDocument/2006/relationships" name="桌次" sheetId="2" r:id="R0b58bd1117414c15"/>
    <x:sheet xmlns:r="http://schemas.openxmlformats.org/officeDocument/2006/relationships" name="晚宴" sheetId="4" r:id="R3667e37dab754530"/>
    <x:sheet xmlns:r="http://schemas.openxmlformats.org/officeDocument/2006/relationships" name="檢核" sheetId="3" r:id="R9b51fcaa8282495f"/>
  </x:sheets>
</x:workbook>
</file>

<file path=xl/sharedStrings.xml><?xml version="1.0" encoding="utf-8"?>
<x:sst xmlns:x="http://schemas.openxmlformats.org/spreadsheetml/2006/main">
  <x:si>
    <x:t xml:space="preserve">濟南房號與桌次總表</x:t>
  </x:si>
  <x:si>
    <x:t xml:space="preserve">整合來源：分房、桌次、晚宴。名單共 85 人；房間 44 間；桌次 9 桌；晚宴分組 10 組。</x:t>
  </x:si>
  <x:si>
    <x:t xml:space="preserve">房號</x:t>
  </x:si>
  <x:si>
    <x:t xml:space="preserve">編號</x:t>
  </x:si>
  <x:si>
    <x:t xml:space="preserve">姓名</x:t>
  </x:si>
  <x:si>
    <x:t xml:space="preserve">單位</x:t>
  </x:si>
  <x:si>
    <x:t xml:space="preserve">性別</x:t>
  </x:si>
  <x:si>
    <x:t xml:space="preserve">青島金水皇冠假日飯店房號</x:t>
  </x:si>
  <x:si>
    <x:t xml:space="preserve">濟南美悅雲禧飯店房號</x:t>
  </x:si>
  <x:si>
    <x:t xml:space="preserve">桌次</x:t>
  </x:si>
  <x:si>
    <x:t xml:space="preserve">晚宴座位</x:t>
  </x:si>
  <x:si>
    <x:t xml:space="preserve">課程分組</x:t>
  </x:si>
  <x:si>
    <x:t xml:space="preserve">組長</x:t>
  </x:si>
  <x:si>
    <x:t xml:space="preserve">備註</x:t>
  </x:si>
  <x:si>
    <x:t xml:space="preserve">1</x:t>
  </x:si>
  <x:si>
    <x:t xml:space="preserve">許智雄</x:t>
  </x:si>
  <x:si>
    <x:t xml:space="preserve">高天通訊處</x:t>
  </x:si>
  <x:si>
    <x:t xml:space="preserve">男</x:t>
  </x:si>
  <x:si>
    <x:t xml:space="preserve">第1桌</x:t>
  </x:si>
  <x:si>
    <x:t xml:space="preserve">第9桌</x:t>
  </x:si>
  <x:si>
    <x:t xml:space="preserve">第9組</x:t>
  </x:si>
  <x:si>
    <x:t xml:space="preserve">2</x:t>
  </x:si>
  <x:si>
    <x:t xml:space="preserve">謝政男</x:t>
  </x:si>
  <x:si>
    <x:t xml:space="preserve">第6桌</x:t>
  </x:si>
  <x:si>
    <x:t xml:space="preserve">第6組</x:t>
  </x:si>
  <x:si>
    <x:t xml:space="preserve">3</x:t>
  </x:si>
  <x:si>
    <x:t xml:space="preserve">何宜家</x:t>
  </x:si>
  <x:si>
    <x:t xml:space="preserve">女</x:t>
  </x:si>
  <x:si>
    <x:t xml:space="preserve">主桌</x:t>
  </x:si>
  <x:si>
    <x:t xml:space="preserve">4</x:t>
  </x:si>
  <x:si>
    <x:t xml:space="preserve">蕭宇晴</x:t>
  </x:si>
  <x:si>
    <x:t xml:space="preserve">第2桌</x:t>
  </x:si>
  <x:si>
    <x:t xml:space="preserve">第2組</x:t>
  </x:si>
  <x:si>
    <x:t xml:space="preserve">5</x:t>
  </x:si>
  <x:si>
    <x:t xml:space="preserve">蕭如菁</x:t>
  </x:si>
  <x:si>
    <x:t xml:space="preserve">第3桌</x:t>
  </x:si>
  <x:si>
    <x:t xml:space="preserve">第3組</x:t>
  </x:si>
  <x:si>
    <x:t xml:space="preserve">6</x:t>
  </x:si>
  <x:si>
    <x:t xml:space="preserve">何宜庭</x:t>
  </x:si>
  <x:si>
    <x:t xml:space="preserve">第8桌</x:t>
  </x:si>
  <x:si>
    <x:t xml:space="preserve">第8組</x:t>
  </x:si>
  <x:si>
    <x:t xml:space="preserve">7</x:t>
  </x:si>
  <x:si>
    <x:t xml:space="preserve">戴東志</x:t>
  </x:si>
  <x:si>
    <x:t xml:space="preserve">第1組</x:t>
  </x:si>
  <x:si>
    <x:t xml:space="preserve">8</x:t>
  </x:si>
  <x:si>
    <x:t xml:space="preserve">詹政杰</x:t>
  </x:si>
  <x:si>
    <x:t xml:space="preserve">第7桌</x:t>
  </x:si>
  <x:si>
    <x:t xml:space="preserve">第7組</x:t>
  </x:si>
  <x:si>
    <x:t xml:space="preserve">9</x:t>
  </x:si>
  <x:si>
    <x:t xml:space="preserve">吳睿綝</x:t>
  </x:si>
  <x:si>
    <x:t xml:space="preserve">10</x:t>
  </x:si>
  <x:si>
    <x:t xml:space="preserve">陳懷柔</x:t>
  </x:si>
  <x:si>
    <x:t xml:space="preserve">11</x:t>
  </x:si>
  <x:si>
    <x:t xml:space="preserve">黃柏瑞</x:t>
  </x:si>
  <x:si>
    <x:t xml:space="preserve">高貴通訊處</x:t>
  </x:si>
  <x:si>
    <x:t xml:space="preserve">12</x:t>
  </x:si>
  <x:si>
    <x:t xml:space="preserve">陳其呈</x:t>
  </x:si>
  <x:si>
    <x:t xml:space="preserve">13</x:t>
  </x:si>
  <x:si>
    <x:t xml:space="preserve">陳武均</x:t>
  </x:si>
  <x:si>
    <x:t xml:space="preserve">富予二通訊處</x:t>
  </x:si>
  <x:si>
    <x:t xml:space="preserve">第5桌</x:t>
  </x:si>
  <x:si>
    <x:t xml:space="preserve">第5組</x:t>
  </x:si>
  <x:si>
    <x:t xml:space="preserve">14</x:t>
  </x:si>
  <x:si>
    <x:t xml:space="preserve">陳尚禾</x:t>
  </x:si>
  <x:si>
    <x:t xml:space="preserve">15</x:t>
  </x:si>
  <x:si>
    <x:t xml:space="preserve">陳昶聿</x:t>
  </x:si>
  <x:si>
    <x:t xml:space="preserve">16</x:t>
  </x:si>
  <x:si>
    <x:t xml:space="preserve">宋里安</x:t>
  </x:si>
  <x:si>
    <x:t xml:space="preserve">17</x:t>
  </x:si>
  <x:si>
    <x:t xml:space="preserve">賴芯甯</x:t>
  </x:si>
  <x:si>
    <x:t xml:space="preserve">18</x:t>
  </x:si>
  <x:si>
    <x:t xml:space="preserve">高泰琳</x:t>
  </x:si>
  <x:si>
    <x:t xml:space="preserve">第4桌</x:t>
  </x:si>
  <x:si>
    <x:t xml:space="preserve">第4組</x:t>
  </x:si>
  <x:si>
    <x:t xml:space="preserve">19</x:t>
  </x:si>
  <x:si>
    <x:t xml:space="preserve">許瓊云</x:t>
  </x:si>
  <x:si>
    <x:t xml:space="preserve">20</x:t>
  </x:si>
  <x:si>
    <x:t xml:space="preserve">王姵慈</x:t>
  </x:si>
  <x:si>
    <x:t xml:space="preserve">富吳通訊處</x:t>
  </x:si>
  <x:si>
    <x:t xml:space="preserve">21</x:t>
  </x:si>
  <x:si>
    <x:t xml:space="preserve">賴含怡</x:t>
  </x:si>
  <x:si>
    <x:t xml:space="preserve">富則通訊處</x:t>
  </x:si>
  <x:si>
    <x:t xml:space="preserve">22</x:t>
  </x:si>
  <x:si>
    <x:t xml:space="preserve">吳佩姗</x:t>
  </x:si>
  <x:si>
    <x:t xml:space="preserve">23</x:t>
  </x:si>
  <x:si>
    <x:t xml:space="preserve">王鄆郅</x:t>
  </x:si>
  <x:si>
    <x:t xml:space="preserve">24</x:t>
  </x:si>
  <x:si>
    <x:t xml:space="preserve">廖冠傑</x:t>
  </x:si>
  <x:si>
    <x:t xml:space="preserve">25</x:t>
  </x:si>
  <x:si>
    <x:t xml:space="preserve">王騌捷</x:t>
  </x:si>
  <x:si>
    <x:t xml:space="preserve">26</x:t>
  </x:si>
  <x:si>
    <x:t xml:space="preserve">黃金隆</x:t>
  </x:si>
  <x:si>
    <x:t xml:space="preserve">27</x:t>
  </x:si>
  <x:si>
    <x:t xml:space="preserve">呂顏伃</x:t>
  </x:si>
  <x:si>
    <x:t xml:space="preserve">28</x:t>
  </x:si>
  <x:si>
    <x:t xml:space="preserve">陳怡諳</x:t>
  </x:si>
  <x:si>
    <x:t xml:space="preserve">29</x:t>
  </x:si>
  <x:si>
    <x:t xml:space="preserve">彭莉柔</x:t>
  </x:si>
  <x:si>
    <x:t xml:space="preserve">30</x:t>
  </x:si>
  <x:si>
    <x:t xml:space="preserve">陳盈蓁</x:t>
  </x:si>
  <x:si>
    <x:t xml:space="preserve">31</x:t>
  </x:si>
  <x:si>
    <x:t xml:space="preserve">周易慶</x:t>
  </x:si>
  <x:si>
    <x:t xml:space="preserve">32</x:t>
  </x:si>
  <x:si>
    <x:t xml:space="preserve">林建璋</x:t>
  </x:si>
  <x:si>
    <x:t xml:space="preserve">33</x:t>
  </x:si>
  <x:si>
    <x:t xml:space="preserve">李奕寬</x:t>
  </x:si>
  <x:si>
    <x:t xml:space="preserve">34</x:t>
  </x:si>
  <x:si>
    <x:t xml:space="preserve">黃彥融</x:t>
  </x:si>
  <x:si>
    <x:t xml:space="preserve">35</x:t>
  </x:si>
  <x:si>
    <x:t xml:space="preserve">鄭丞哲</x:t>
  </x:si>
  <x:si>
    <x:t xml:space="preserve">36</x:t>
  </x:si>
  <x:si>
    <x:t xml:space="preserve">謝宇軒</x:t>
  </x:si>
  <x:si>
    <x:t xml:space="preserve">37</x:t>
  </x:si>
  <x:si>
    <x:t xml:space="preserve">戴孜安</x:t>
  </x:si>
  <x:si>
    <x:t xml:space="preserve">38</x:t>
  </x:si>
  <x:si>
    <x:t xml:space="preserve">徐瀚</x:t>
  </x:si>
  <x:si>
    <x:t xml:space="preserve">39</x:t>
  </x:si>
  <x:si>
    <x:t xml:space="preserve">許嘉晉</x:t>
  </x:si>
  <x:si>
    <x:t xml:space="preserve">40</x:t>
  </x:si>
  <x:si>
    <x:t xml:space="preserve">侯宏詣</x:t>
  </x:si>
  <x:si>
    <x:t xml:space="preserve">41</x:t>
  </x:si>
  <x:si>
    <x:t xml:space="preserve">簡宏鈞</x:t>
  </x:si>
  <x:si>
    <x:t xml:space="preserve">富能通訊處</x:t>
  </x:si>
  <x:si>
    <x:t xml:space="preserve">42</x:t>
  </x:si>
  <x:si>
    <x:t xml:space="preserve">王昱文</x:t>
  </x:si>
  <x:si>
    <x:t xml:space="preserve">43</x:t>
  </x:si>
  <x:si>
    <x:t xml:space="preserve">管卓鈞</x:t>
  </x:si>
  <x:si>
    <x:t xml:space="preserve">44</x:t>
  </x:si>
  <x:si>
    <x:t xml:space="preserve">林桂安</x:t>
  </x:si>
  <x:si>
    <x:t xml:space="preserve">45</x:t>
  </x:si>
  <x:si>
    <x:t xml:space="preserve">簡姵萱</x:t>
  </x:si>
  <x:si>
    <x:t xml:space="preserve">46</x:t>
  </x:si>
  <x:si>
    <x:t xml:space="preserve">潘韻竹</x:t>
  </x:si>
  <x:si>
    <x:t xml:space="preserve">47</x:t>
  </x:si>
  <x:si>
    <x:t xml:space="preserve">傅佳旻</x:t>
  </x:si>
  <x:si>
    <x:t xml:space="preserve">富占通訊處</x:t>
  </x:si>
  <x:si>
    <x:t xml:space="preserve">48</x:t>
  </x:si>
  <x:si>
    <x:t xml:space="preserve">徐維鈴</x:t>
  </x:si>
  <x:si>
    <x:t xml:space="preserve">49</x:t>
  </x:si>
  <x:si>
    <x:t xml:space="preserve">鍾怡婷</x:t>
  </x:si>
  <x:si>
    <x:t xml:space="preserve">50</x:t>
  </x:si>
  <x:si>
    <x:t xml:space="preserve">林宜潔</x:t>
  </x:si>
  <x:si>
    <x:t xml:space="preserve">51</x:t>
  </x:si>
  <x:si>
    <x:t xml:space="preserve">顏明儀</x:t>
  </x:si>
  <x:si>
    <x:t xml:space="preserve">52</x:t>
  </x:si>
  <x:si>
    <x:t xml:space="preserve">王思嵐</x:t>
  </x:si>
  <x:si>
    <x:t xml:space="preserve">53</x:t>
  </x:si>
  <x:si>
    <x:t xml:space="preserve">吳品萱</x:t>
  </x:si>
  <x:si>
    <x:t xml:space="preserve">54</x:t>
  </x:si>
  <x:si>
    <x:t xml:space="preserve">林芳誼</x:t>
  </x:si>
  <x:si>
    <x:t xml:space="preserve">55</x:t>
  </x:si>
  <x:si>
    <x:t xml:space="preserve">余妏珊</x:t>
  </x:si>
  <x:si>
    <x:t xml:space="preserve">56</x:t>
  </x:si>
  <x:si>
    <x:t xml:space="preserve">余若馨</x:t>
  </x:si>
  <x:si>
    <x:t xml:space="preserve">57</x:t>
  </x:si>
  <x:si>
    <x:t xml:space="preserve">吳沛錞</x:t>
  </x:si>
  <x:si>
    <x:t xml:space="preserve">58</x:t>
  </x:si>
  <x:si>
    <x:t xml:space="preserve">李婕詠</x:t>
  </x:si>
  <x:si>
    <x:t xml:space="preserve">59</x:t>
  </x:si>
  <x:si>
    <x:t xml:space="preserve">李孟珊</x:t>
  </x:si>
  <x:si>
    <x:t xml:space="preserve">60</x:t>
  </x:si>
  <x:si>
    <x:t xml:space="preserve">黃馨葦</x:t>
  </x:si>
  <x:si>
    <x:t xml:space="preserve">61</x:t>
  </x:si>
  <x:si>
    <x:t xml:space="preserve">蔡承遠</x:t>
  </x:si>
  <x:si>
    <x:t xml:space="preserve">62</x:t>
  </x:si>
  <x:si>
    <x:t xml:space="preserve">張國興</x:t>
  </x:si>
  <x:si>
    <x:t xml:space="preserve">63</x:t>
  </x:si>
  <x:si>
    <x:t xml:space="preserve">高智源</x:t>
  </x:si>
  <x:si>
    <x:t xml:space="preserve">64</x:t>
  </x:si>
  <x:si>
    <x:t xml:space="preserve">王銘宏</x:t>
  </x:si>
  <x:si>
    <x:t xml:space="preserve">65</x:t>
  </x:si>
  <x:si>
    <x:t xml:space="preserve">洪敬忠</x:t>
  </x:si>
  <x:si>
    <x:t xml:space="preserve">富則六通訊處</x:t>
  </x:si>
  <x:si>
    <x:t xml:space="preserve">66</x:t>
  </x:si>
  <x:si>
    <x:t xml:space="preserve">廖宇翔</x:t>
  </x:si>
  <x:si>
    <x:t xml:space="preserve">67</x:t>
  </x:si>
  <x:si>
    <x:t xml:space="preserve">張祐珮</x:t>
  </x:si>
  <x:si>
    <x:t xml:space="preserve">富后通訊處</x:t>
  </x:si>
  <x:si>
    <x:t xml:space="preserve">68</x:t>
  </x:si>
  <x:si>
    <x:t xml:space="preserve">施昕余</x:t>
  </x:si>
  <x:si>
    <x:t xml:space="preserve">中銘通訊處</x:t>
  </x:si>
  <x:si>
    <x:t xml:space="preserve">69</x:t>
  </x:si>
  <x:si>
    <x:t xml:space="preserve">吳皓誠</x:t>
  </x:si>
  <x:si>
    <x:t xml:space="preserve">富亨通訊處</x:t>
  </x:si>
  <x:si>
    <x:t xml:space="preserve">70</x:t>
  </x:si>
  <x:si>
    <x:t xml:space="preserve">張家瑋</x:t>
  </x:si>
  <x:si>
    <x:t xml:space="preserve">71</x:t>
  </x:si>
  <x:si>
    <x:t xml:space="preserve">馬英傑</x:t>
  </x:si>
  <x:si>
    <x:t xml:space="preserve">72</x:t>
  </x:si>
  <x:si>
    <x:t xml:space="preserve">林宏威</x:t>
  </x:si>
  <x:si>
    <x:t xml:space="preserve">73</x:t>
  </x:si>
  <x:si>
    <x:t xml:space="preserve">陳怡萍</x:t>
  </x:si>
  <x:si>
    <x:t xml:space="preserve">74</x:t>
  </x:si>
  <x:si>
    <x:t xml:space="preserve">廖家慧</x:t>
  </x:si>
  <x:si>
    <x:t xml:space="preserve">75</x:t>
  </x:si>
  <x:si>
    <x:t xml:space="preserve">陳龍生</x:t>
  </x:si>
  <x:si>
    <x:t xml:space="preserve">富鑽通訊處</x:t>
  </x:si>
  <x:si>
    <x:t xml:space="preserve">76</x:t>
  </x:si>
  <x:si>
    <x:t xml:space="preserve">葉金玲</x:t>
  </x:si>
  <x:si>
    <x:t xml:space="preserve">77</x:t>
  </x:si>
  <x:si>
    <x:t xml:space="preserve">吳士侃</x:t>
  </x:si>
  <x:si>
    <x:t xml:space="preserve">富北通訊處</x:t>
  </x:si>
  <x:si>
    <x:t xml:space="preserve">78</x:t>
  </x:si>
  <x:si>
    <x:t xml:space="preserve">林瑋</x:t>
  </x:si>
  <x:si>
    <x:t xml:space="preserve">79</x:t>
  </x:si>
  <x:si>
    <x:t xml:space="preserve">曾翊雯</x:t>
  </x:si>
  <x:si>
    <x:t xml:space="preserve">中沐通訊處</x:t>
  </x:si>
  <x:si>
    <x:t xml:space="preserve">80</x:t>
  </x:si>
  <x:si>
    <x:t xml:space="preserve">王原軍</x:t>
  </x:si>
  <x:si>
    <x:t xml:space="preserve">81</x:t>
  </x:si>
  <x:si>
    <x:t xml:space="preserve">鄭占禮</x:t>
  </x:si>
  <x:si>
    <x:t xml:space="preserve">1111</x:t>
  </x:si>
  <x:si>
    <x:t xml:space="preserve">2222</x:t>
  </x:si>
  <x:si>
    <x:t xml:space="preserve">82</x:t>
  </x:si>
  <x:si>
    <x:t xml:space="preserve">孫振文</x:t>
  </x:si>
  <x:si>
    <x:t xml:space="preserve">83</x:t>
  </x:si>
  <x:si>
    <x:t xml:space="preserve">范毓斌</x:t>
  </x:si>
  <x:si>
    <x:t xml:space="preserve">84</x:t>
  </x:si>
  <x:si>
    <x:t xml:space="preserve">邱仲恩</x:t>
  </x:si>
  <x:si>
    <x:t xml:space="preserve">吳修毅</x:t>
  </x:si>
  <x:si>
    <x:t xml:space="preserve">資料檢核</x:t>
  </x:si>
  <x:si>
    <x:t xml:space="preserve">項目</x:t>
  </x:si>
  <x:si>
    <x:t xml:space="preserve">數量</x:t>
  </x:si>
  <x:si>
    <x:t xml:space="preserve">名單／說明</x:t>
  </x:si>
  <x:si>
    <x:t xml:space="preserve">總表人數</x:t>
  </x:si>
  <x:si>
    <x:t xml:space="preserve">桌次有、分房未找到</x:t>
  </x:si>
  <x:si>
    <x:t xml:space="preserve">晚宴有、分房未找到</x:t>
  </x:si>
  <x:si>
    <x:t xml:space="preserve">分房有、桌次未找到</x:t>
  </x:si>
  <x:si>
    <x:t xml:space="preserve">分房有、晚宴未找到</x:t>
  </x:si>
</x:sst>
</file>

<file path=xl/styles.xml><?xml version="1.0" encoding="utf-8"?>
<x:styleSheet xmlns:x="http://schemas.openxmlformats.org/spreadsheetml/2006/main">
  <x:numFmts count="3">
    <x:numFmt numFmtId="200" formatCode="00"/>
    <x:numFmt numFmtId="201" formatCode="@"/>
    <x:numFmt numFmtId="202" formatCode="0"/>
  </x:numFmts>
  <x:fonts count="13">
    <x:font>
      <x:sz val="11"/>
      <x:name val="Carlito"/>
    </x:font>
    <x:font>
      <x:b/>
      <x:sz val="16"/>
      <x:color rgb="FFFFFFFF"/>
      <x:name val="Carlito"/>
    </x:font>
    <x:font>
      <x:sz val="11"/>
      <x:color rgb="FF334155"/>
      <x:name val="Carlito"/>
    </x:font>
    <x:font>
      <x:b/>
      <x:sz val="11"/>
      <x:color rgb="FFFFFFFF"/>
      <x:name val="Carlito"/>
    </x:font>
    <x:font>
      <x:sz val="11"/>
      <x:color rgb="FF111827"/>
      <x:name val="Carlito"/>
    </x:font>
    <x:font>
      <x:sz val="11"/>
      <x:color rgb="FFB45309"/>
      <x:name val="Carlito"/>
    </x:font>
    <x:font>
      <x:b/>
      <x:sz val="15"/>
      <x:color rgb="FFFFFFFF"/>
      <x:name val="Carlito"/>
    </x:font>
    <x:font>
      <x:sz val="11"/>
      <x:name val="Carlito"/>
    </x:font>
    <x:font>
      <x:sz val="9"/>
      <x:name val="Chiron Sans HK TT Heavy"/>
    </x:font>
    <x:font>
      <x:sz val="11"/>
      <x:color rgb="FF111827"/>
      <x:name val="Chiron Sans HK TT Heavy"/>
    </x:font>
    <x:font>
      <x:b/>
      <x:sz val="11"/>
      <x:color rgb="FF1F4E78"/>
      <x:name val="Carlito"/>
    </x:font>
    <x:font>
      <x:b/>
      <x:sz val="18"/>
      <x:color rgb="FFFFFFFF"/>
      <x:name val="Carlito"/>
    </x:font>
    <x:font>
      <x:sz val="10"/>
      <x:color rgb="FF203040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5B9BD5"/>
      </x:patternFill>
    </x:fill>
    <x:fill>
      <x:patternFill patternType="solid">
        <x:fgColor theme="4" tint="0.79998"/>
      </x:patternFill>
    </x:fill>
    <x:fill>
      <x:patternFill patternType="solid">
        <x:fgColor rgb="FFFFFF00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EAF7"/>
      </x:left>
      <x:right style="thin">
        <x:color rgb="FFD9EAF7"/>
      </x:right>
      <x:top style="thin">
        <x:color rgb="FFD9EAF7"/>
      </x:top>
      <x:bottom style="thin">
        <x:color rgb="FFD9EAF7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theme="4" tint="0.39998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theme="4" tint="0.39998"/>
      </x:bottom>
    </x:border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</x:borders>
  <x:cellStyleXfs count="2">
    <x:xf numFmtId="0" fontId="0" fillId="0" borderId="0"/>
    <x:xf numFmtId="0" fontId="7" fillId="0" borderId="0"/>
  </x:cellStyleXfs>
  <x:cellXfs count="60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4" fillId="0" borderId="2" xfId="1" applyFont="1" applyBorder="1" applyAlignment="1">
      <x:alignment horizontal="center" vertical="center"/>
    </x:xf>
    <x:xf numFmtId="0" fontId="4" fillId="0" borderId="3" xfId="1" applyFont="1" applyBorder="1" applyAlignment="1">
      <x:alignment horizontal="center" vertical="center"/>
    </x:xf>
    <x:xf numFmtId="0" fontId="4" fillId="0" borderId="5" xfId="1" applyFont="1" applyBorder="1" applyAlignment="1">
      <x:alignment horizontal="center" vertical="center"/>
    </x:xf>
    <x:xf numFmtId="0" fontId="4" fillId="0" borderId="6" xfId="1" applyFont="1" applyBorder="1" applyAlignment="1">
      <x:alignment horizontal="center" vertical="center"/>
    </x:xf>
    <x:xf numFmtId="0" fontId="4" fillId="0" borderId="9" xfId="1" applyFont="1" applyBorder="1" applyAlignment="1">
      <x:alignment horizontal="center" vertical="center"/>
    </x:xf>
    <x:xf numFmtId="0" fontId="4" fillId="0" borderId="3" xfId="1" applyFont="1" applyBorder="1" applyAlignment="1">
      <x:alignment horizontal="left" vertical="center"/>
    </x:xf>
    <x:xf numFmtId="0" fontId="4" fillId="0" borderId="6" xfId="1" applyFont="1" applyBorder="1" applyAlignment="1">
      <x:alignment horizontal="left" vertical="center"/>
    </x:xf>
    <x:xf numFmtId="0" fontId="4" fillId="0" borderId="9" xfId="1" applyFont="1" applyBorder="1" applyAlignment="1">
      <x:alignment horizontal="left" vertical="center"/>
    </x:xf>
    <x:xf numFmtId="0" fontId="5" fillId="0" borderId="4" xfId="1" applyFont="1" applyBorder="1" applyAlignment="1">
      <x:alignment vertical="center"/>
    </x:xf>
    <x:xf numFmtId="0" fontId="5" fillId="0" borderId="7" xfId="1" applyFont="1" applyBorder="1" applyAlignment="1">
      <x:alignment vertical="center"/>
    </x:xf>
    <x:xf numFmtId="0" fontId="5" fillId="0" borderId="10" xfId="1" applyFont="1" applyBorder="1" applyAlignment="1">
      <x:alignment vertical="center"/>
    </x:xf>
    <x:xf numFmtId="0" fontId="3" fillId="4" borderId="1" xfId="1" applyFont="1" applyFill="1" applyBorder="1" applyAlignment="1">
      <x:alignment horizontal="center"/>
    </x:xf>
    <x:xf numFmtId="0" fontId="0" fillId="0" borderId="2" xfId="1" applyFont="1" applyBorder="1" applyAlignment="1">
      <x:alignment vertical="center" wrapText="1"/>
    </x:xf>
    <x:xf numFmtId="0" fontId="0" fillId="0" borderId="3" xfId="1" applyFont="1" applyBorder="1" applyAlignment="1">
      <x:alignment vertical="center" wrapText="1"/>
    </x:xf>
    <x:xf numFmtId="0" fontId="0" fillId="0" borderId="4" xfId="1" applyFont="1" applyBorder="1" applyAlignment="1">
      <x:alignment vertical="center" wrapText="1"/>
    </x:xf>
    <x:xf numFmtId="0" fontId="0" fillId="0" borderId="5" xfId="1" applyFont="1" applyBorder="1" applyAlignment="1">
      <x:alignment vertical="center" wrapText="1"/>
    </x:xf>
    <x:xf numFmtId="0" fontId="0" fillId="0" borderId="6" xfId="1" applyFont="1" applyBorder="1" applyAlignment="1">
      <x:alignment vertical="center" wrapText="1"/>
    </x:xf>
    <x:xf numFmtId="0" fontId="0" fillId="0" borderId="7" xfId="1" applyFont="1" applyBorder="1" applyAlignment="1">
      <x:alignment vertical="center" wrapText="1"/>
    </x:xf>
    <x:xf numFmtId="0" fontId="0" fillId="0" borderId="8" xfId="1" applyFont="1" applyBorder="1" applyAlignment="1">
      <x:alignment vertical="center" wrapText="1"/>
    </x:xf>
    <x:xf numFmtId="0" fontId="0" fillId="0" borderId="9" xfId="1" applyFont="1" applyBorder="1" applyAlignment="1">
      <x:alignment vertical="center" wrapText="1"/>
    </x:xf>
    <x:xf numFmtId="0" fontId="0" fillId="0" borderId="10" xfId="1" applyFont="1" applyBorder="1" applyAlignment="1">
      <x:alignment vertical="center" wrapText="1"/>
    </x:xf>
    <x:xf numFmtId="0" fontId="4" fillId="6" borderId="5" xfId="1" applyFont="1" applyFill="1" applyBorder="1" applyAlignment="1">
      <x:alignment horizontal="center" vertical="center"/>
    </x:xf>
    <x:xf numFmtId="0" fontId="4" fillId="6" borderId="8" xfId="1" applyFont="1" applyFill="1" applyBorder="1" applyAlignment="1">
      <x:alignment horizontal="center" vertical="center"/>
    </x:xf>
    <x:xf numFmtId="0" fontId="4" fillId="5" borderId="11" xfId="1" applyFont="1" applyFill="1" applyBorder="1" applyAlignment="1">
      <x:alignment horizontal="center" vertical="center"/>
    </x:xf>
    <x:xf numFmtId="0" fontId="4" fillId="5" borderId="6" xfId="1" applyFont="1" applyFill="1" applyBorder="1" applyAlignment="1">
      <x:alignment horizontal="center" vertical="center"/>
    </x:xf>
    <x:xf numFmtId="0" fontId="4" fillId="5" borderId="12" xfId="1" applyFont="1" applyFill="1" applyBorder="1" applyAlignment="1">
      <x:alignment horizontal="center" vertical="center"/>
    </x:xf>
    <x:xf numFmtId="0" fontId="4" fillId="0" borderId="4" xfId="1" applyFont="1" applyBorder="1" applyAlignment="1">
      <x:alignment horizontal="center" vertical="center"/>
    </x:xf>
    <x:xf numFmtId="0" fontId="4" fillId="0" borderId="7" xfId="1" applyFont="1" applyBorder="1" applyAlignment="1">
      <x:alignment horizontal="center" vertical="center"/>
    </x:xf>
    <x:xf numFmtId="0" fontId="4" fillId="0" borderId="10" xfId="1" applyFont="1" applyBorder="1" applyAlignment="1">
      <x:alignment horizontal="center" vertical="center"/>
    </x:xf>
    <x:xf numFmtId="0" fontId="9" fillId="0" borderId="7" xfId="1" applyFont="1" applyBorder="1" applyAlignment="1">
      <x:alignment horizontal="center" vertical="center"/>
    </x:xf>
    <x:xf numFmtId="0" fontId="2" fillId="3" borderId="0" xfId="1" applyFont="1" applyFill="1" applyAlignment="1">
      <x:alignment vertical="center"/>
    </x:xf>
    <x:xf numFmtId="0" fontId="0" fillId="0" borderId="0" xfId="0"/>
    <x:xf numFmtId="0" fontId="1" fillId="2" borderId="0" xfId="1" applyFont="1" applyFill="1" applyAlignment="1">
      <x:alignment horizontal="center" vertical="center" wrapText="1"/>
    </x:xf>
    <x:xf numFmtId="0" fontId="6" fillId="2" borderId="0" xfId="1" applyFont="1" applyFill="1" applyAlignment="1">
      <x:alignment horizontal="center" vertical="center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horizontal="center"/>
    </x:xf>
    <x:xf numFmtId="0" fontId="10" fillId="7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horizontal="center"/>
    </x:xf>
    <x:xf numFmtId="0" fontId="11" fillId="8" borderId="0" xfId="0" applyNumberFormat="1" applyFont="1" applyFill="1" applyBorder="1" applyAlignment="1">
      <x:alignment horizontal="center" vertical="center"/>
    </x:xf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horizontal="left"/>
    </x:xf>
    <x:xf numFmtId="0" fontId="12" fillId="7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202" fontId="0" fillId="0" borderId="13" xfId="0" applyNumberFormat="1" applyFont="1" applyFill="1" applyBorder="1"/>
    <x:xf numFmtId="0" fontId="0" fillId="9" borderId="13" xfId="0" applyNumberFormat="1" applyFont="1" applyFill="1" applyBorder="1"/>
    <x:xf numFmtId="202" fontId="0" fillId="9" borderId="13" xfId="0" applyNumberFormat="1" applyFont="1" applyFill="1" applyBorder="1"/>
    <x:xf numFmtId="0" fontId="0" fillId="10" borderId="13" xfId="0" applyNumberFormat="1" applyFont="1" applyFill="1" applyBorder="1"/>
    <x:xf numFmtId="202" fontId="0" fillId="10" borderId="13" xfId="0" applyNumberFormat="1" applyFont="1" applyFill="1" applyBorder="1"/>
  </x:cellXfs>
  <x:cellStyles count="2">
    <x:cellStyle name="Normal" xfId="1"/>
    <x:cellStyle name="一般" xfId="0"/>
  </x:cellStyles>
  <x:dxfs count="2">
    <x:dxf>
      <x:font>
        <x:sz val="11"/>
        <x:color rgb="FF111827"/>
        <x:name val="Carlito"/>
      </x:font>
      <x:border>
        <x:left style="thin">
          <x:color rgb="FFE5E7EB"/>
        </x:left>
        <x:right/>
        <x:top style="thin">
          <x:color rgb="FFE5E7EB"/>
        </x:top>
        <x:bottom style="thin">
          <x:color rgb="FFE5E7EB"/>
        </x:bottom>
      </x:border>
    </x:dxf>
    <x:dxf>
      <x:font>
        <x:sz val="11"/>
        <x:color rgb="FF111827"/>
        <x:name val="Carlito"/>
      </x:font>
      <x:numFmt numFmtId="0" formatCode="General"/>
      <x:fill>
        <x:patternFill>
          <x:bgColor theme="4" tint="0.79998"/>
        </x:patternFill>
      </x:fill>
      <x:border>
        <x:left style="thin">
          <x:color rgb="FFE5E7EB"/>
        </x:left>
        <x:right style="thin">
          <x:color rgb="FFE5E7EB"/>
        </x:right>
        <x:top style="thin">
          <x:color rgb="FFE5E7EB"/>
        </x:top>
        <x:bottom style="thin">
          <x:color rgb="FFE5E7EB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33c2b69dff4028" /><Relationship Type="http://schemas.openxmlformats.org/officeDocument/2006/relationships/theme" Target="/xl/theme/theme1.xml" Id="R94810d2bcb634e6f" /><Relationship Type="http://schemas.openxmlformats.org/officeDocument/2006/relationships/sharedStrings" Target="/xl/sharedStrings.xml" Id="R70113f1c58f642bd" /><Relationship Type="http://schemas.openxmlformats.org/officeDocument/2006/relationships/worksheet" Target="/xl/worksheets/sheet1.xml" Id="R7e1a004ea1344bcf" /><Relationship Type="http://schemas.openxmlformats.org/officeDocument/2006/relationships/worksheet" Target="/xl/worksheets/sheet2.xml" Id="R0b58bd1117414c15" /><Relationship Type="http://schemas.openxmlformats.org/officeDocument/2006/relationships/worksheet" Target="/xl/worksheets/sheet3.xml" Id="R3667e37dab754530" /><Relationship Type="http://schemas.openxmlformats.org/officeDocument/2006/relationships/worksheet" Target="/xl/worksheets/sheet4.xml" Id="R9b51fcaa8282495f" /></Relationships>
</file>

<file path=xl/tables/table1.xml><?xml version="1.0" encoding="utf-8"?>
<x:table xmlns:x="http://schemas.openxmlformats.org/spreadsheetml/2006/main" id="1" name="ConsolidatedRoomTable" displayName="ConsolidatedRoomTable" ref="A4:L89">
  <x:tableColumns count="12">
    <x:tableColumn id="1" name="房號"/>
    <x:tableColumn id="2" name="編號"/>
    <x:tableColumn id="3" name="姓名"/>
    <x:tableColumn id="4" name="單位"/>
    <x:tableColumn id="5" name="性別"/>
    <x:tableColumn id="6" name="青島金水皇冠假日飯店房號"/>
    <x:tableColumn id="7" name="濟南美悅雲禧飯店房號"/>
    <x:tableColumn id="8" name="桌次"/>
    <x:tableColumn id="9" name="晚宴座位" dataDxfId="1"/>
    <x:tableColumn id="10" name="課程分組"/>
    <x:tableColumn id="11" name="組長" dataDxfId="0"/>
    <x:tableColumn id="12" name="備註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rainSeatTable" displayName="TrainSeatTable" ref="M4:N89" headerRowCount="1" totalsRowCount="0" totalsRowShown="0">
  <x:tableColumns count="2">
    <x:tableColumn id="1" name="車廂"/>
    <x:tableColumn id="2" name="座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iningTableList" displayName="DiningTableList" ref="A4:H89" headerRowCount="1" totalsRowCount="0" totalsRowShown="0">
  <x:autoFilter ref="A4:H89"/>
  <x:tableColumns count="8">
    <x:tableColumn id="1" name="桌次"/>
    <x:tableColumn id="2" name="姓名"/>
    <x:tableColumn id="3" name="單位"/>
    <x:tableColumn id="4" name="性別"/>
    <x:tableColumn id="5" name="房號"/>
    <x:tableColumn id="6" name="編號"/>
    <x:tableColumn id="7" name="青島房號"/>
    <x:tableColumn id="8" name="濟南房號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nquetTableList" displayName="BanquetTableList" ref="A4:I89" headerRowCount="1" totalsRowCount="0" totalsRowShown="0">
  <x:autoFilter ref="A4:I89"/>
  <x:tableColumns count="9">
    <x:tableColumn id="1" name="晚宴座位"/>
    <x:tableColumn id="2" name="課程分組"/>
    <x:tableColumn id="3" name="組長"/>
    <x:tableColumn id="4" name="姓名"/>
    <x:tableColumn id="5" name="單位"/>
    <x:tableColumn id="6" name="性別"/>
    <x:tableColumn id="7" name="房號"/>
    <x:tableColumn id="8" name="編號"/>
    <x:tableColumn id="9" name="備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6dae2765fc43c8" /><Relationship Type="http://schemas.openxmlformats.org/officeDocument/2006/relationships/table" Target="/xl/tables/table2.xml" Id="Raeeca3cf9593419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7a4a52f0932441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7b5bad79db724a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2" width="8" customWidth="1"/>
    <x:col min="3" max="3" width="12" customWidth="1"/>
    <x:col min="4" max="4" width="18" customWidth="1"/>
    <x:col min="5" max="5" width="8" customWidth="1"/>
    <x:col min="6" max="6" width="24" customWidth="1"/>
    <x:col min="7" max="7" width="22" customWidth="1"/>
    <x:col min="8" max="12" width="10" customWidth="1"/>
    <x:col min="13" max="13" width="10" hidden="0" customWidth="1"/>
    <x:col min="14" max="14" width="10" hidden="0" customWidth="1"/>
  </x:cols>
  <x:sheetData>
    <x:row r="1" ht="25.5" customHeight="1">
      <x:c r="A1" s="34" t="s">
        <x:v>0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</x:row>
    <x:row r="2" ht="19.5" customHeight="1">
      <x:c r="A2" s="32" t="s">
        <x:v>1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</x:row>
    <x:row r="3" ht="24" customHeight="1">
      <x:c r="A3" s="39" t="str">
        <x:v>車次：青島 → 濟南｜2026/07/15｜高鐵 G1074｜14:36–17:20｜座位名單 85 人；全員座位已列</x:v>
      </x:c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</x:row>
    <x:row r="4" ht="21" customHeight="1">
      <x:c r="A4" s="1" t="s">
        <x:v>2</x:v>
      </x:c>
      <x:c r="B4" s="1" t="s">
        <x:v>3</x:v>
      </x:c>
      <x:c r="C4" s="1" t="s">
        <x:v>4</x:v>
      </x:c>
      <x:c r="D4" s="1" t="s">
        <x:v>5</x:v>
      </x:c>
      <x:c r="E4" s="1" t="s">
        <x:v>6</x:v>
      </x:c>
      <x:c r="F4" s="1" t="s">
        <x:v>7</x:v>
      </x:c>
      <x:c r="G4" s="1" t="s">
        <x:v>8</x:v>
      </x:c>
      <x:c r="H4" s="1" t="s">
        <x:v>9</x:v>
      </x:c>
      <x:c r="I4" s="1" t="s">
        <x:v>10</x:v>
      </x:c>
      <x:c r="J4" s="1" t="s">
        <x:v>11</x:v>
      </x:c>
      <x:c r="K4" s="1" t="s">
        <x:v>12</x:v>
      </x:c>
      <x:c r="L4" s="1" t="s">
        <x:v>13</x:v>
      </x:c>
      <x:c r="M4" s="42" t="str">
        <x:v>車廂</x:v>
      </x:c>
      <x:c r="N4" s="42" t="str">
        <x:v>座位</x:v>
      </x:c>
    </x:row>
    <x:row r="5">
      <x:c r="A5" s="2" t="s">
        <x:v>14</x:v>
      </x:c>
      <x:c r="B5" s="3" t="s">
        <x:v>14</x:v>
      </x:c>
      <x:c r="C5" s="7" t="s">
        <x:v>15</x:v>
      </x:c>
      <x:c r="D5" s="7" t="s">
        <x:v>16</x:v>
      </x:c>
      <x:c r="E5" s="3" t="s">
        <x:v>17</x:v>
      </x:c>
      <x:c r="F5" s="3"/>
      <x:c r="G5" s="3"/>
      <x:c r="H5" s="3" t="s">
        <x:v>18</x:v>
      </x:c>
      <x:c r="I5" s="25" t="s">
        <x:v>19</x:v>
      </x:c>
      <x:c r="J5" s="3" t="s">
        <x:v>20</x:v>
      </x:c>
      <x:c r="K5" s="28" t="s">
        <x:v>12</x:v>
      </x:c>
      <x:c r="L5" s="10"/>
      <x:c r="M5" s="43" t="n">
        <x:v>14</x:v>
      </x:c>
      <x:c r="N5" s="44" t="str">
        <x:v>04D</x:v>
      </x:c>
    </x:row>
    <x:row r="6">
      <x:c r="A6" s="4" t="s">
        <x:v>14</x:v>
      </x:c>
      <x:c r="B6" s="5" t="s">
        <x:v>21</x:v>
      </x:c>
      <x:c r="C6" s="8" t="s">
        <x:v>22</x:v>
      </x:c>
      <x:c r="D6" s="8" t="s">
        <x:v>16</x:v>
      </x:c>
      <x:c r="E6" s="5" t="s">
        <x:v>17</x:v>
      </x:c>
      <x:c r="F6" s="5"/>
      <x:c r="G6" s="5"/>
      <x:c r="H6" s="5" t="s">
        <x:v>18</x:v>
      </x:c>
      <x:c r="I6" s="5" t="s">
        <x:v>23</x:v>
      </x:c>
      <x:c r="J6" s="5" t="s">
        <x:v>24</x:v>
      </x:c>
      <x:c r="K6" s="29"/>
      <x:c r="L6" s="11"/>
      <x:c r="M6" s="43" t="n">
        <x:v>14</x:v>
      </x:c>
      <x:c r="N6" s="44" t="str">
        <x:v>04C</x:v>
      </x:c>
    </x:row>
    <x:row r="7">
      <x:c r="A7" s="4" t="s">
        <x:v>21</x:v>
      </x:c>
      <x:c r="B7" s="5" t="s">
        <x:v>25</x:v>
      </x:c>
      <x:c r="C7" s="8" t="s">
        <x:v>26</x:v>
      </x:c>
      <x:c r="D7" s="8" t="s">
        <x:v>16</x:v>
      </x:c>
      <x:c r="E7" s="5" t="s">
        <x:v>27</x:v>
      </x:c>
      <x:c r="F7" s="5"/>
      <x:c r="G7" s="5"/>
      <x:c r="H7" s="5" t="s">
        <x:v>18</x:v>
      </x:c>
      <x:c r="I7" s="5" t="s">
        <x:v>28</x:v>
      </x:c>
      <x:c r="K7" s="29"/>
      <x:c r="L7" s="11"/>
      <x:c r="M7" s="43" t="n">
        <x:v>14</x:v>
      </x:c>
      <x:c r="N7" s="44" t="str">
        <x:v>04B</x:v>
      </x:c>
    </x:row>
    <x:row r="8">
      <x:c r="A8" s="4" t="s">
        <x:v>21</x:v>
      </x:c>
      <x:c r="B8" s="5" t="s">
        <x:v>29</x:v>
      </x:c>
      <x:c r="C8" s="8" t="s">
        <x:v>30</x:v>
      </x:c>
      <x:c r="D8" s="8" t="s">
        <x:v>16</x:v>
      </x:c>
      <x:c r="E8" s="5" t="s">
        <x:v>27</x:v>
      </x:c>
      <x:c r="F8" s="5"/>
      <x:c r="G8" s="5"/>
      <x:c r="H8" s="5" t="s">
        <x:v>18</x:v>
      </x:c>
      <x:c r="I8" s="5" t="s">
        <x:v>31</x:v>
      </x:c>
      <x:c r="J8" s="5" t="s">
        <x:v>32</x:v>
      </x:c>
      <x:c r="K8" s="29"/>
      <x:c r="L8" s="11"/>
      <x:c r="M8" s="43" t="n">
        <x:v>14</x:v>
      </x:c>
      <x:c r="N8" s="44" t="str">
        <x:v>05C</x:v>
      </x:c>
    </x:row>
    <x:row r="9">
      <x:c r="A9" s="4" t="s">
        <x:v>25</x:v>
      </x:c>
      <x:c r="B9" s="5" t="s">
        <x:v>33</x:v>
      </x:c>
      <x:c r="C9" s="8" t="s">
        <x:v>34</x:v>
      </x:c>
      <x:c r="D9" s="8" t="s">
        <x:v>16</x:v>
      </x:c>
      <x:c r="E9" s="5" t="s">
        <x:v>27</x:v>
      </x:c>
      <x:c r="F9" s="5"/>
      <x:c r="G9" s="5"/>
      <x:c r="H9" s="5" t="s">
        <x:v>18</x:v>
      </x:c>
      <x:c r="I9" s="26" t="s">
        <x:v>35</x:v>
      </x:c>
      <x:c r="J9" s="5" t="s">
        <x:v>36</x:v>
      </x:c>
      <x:c r="K9" s="29"/>
      <x:c r="L9" s="11"/>
      <x:c r="M9" s="43" t="n">
        <x:v>14</x:v>
      </x:c>
      <x:c r="N9" s="44" t="str">
        <x:v>04F</x:v>
      </x:c>
    </x:row>
    <x:row r="10">
      <x:c r="A10" s="4" t="s">
        <x:v>25</x:v>
      </x:c>
      <x:c r="B10" s="5" t="s">
        <x:v>37</x:v>
      </x:c>
      <x:c r="C10" s="8" t="s">
        <x:v>38</x:v>
      </x:c>
      <x:c r="D10" s="8" t="s">
        <x:v>16</x:v>
      </x:c>
      <x:c r="E10" s="5" t="s">
        <x:v>27</x:v>
      </x:c>
      <x:c r="F10" s="5"/>
      <x:c r="G10" s="5"/>
      <x:c r="H10" s="5" t="s">
        <x:v>18</x:v>
      </x:c>
      <x:c r="I10" s="5" t="s">
        <x:v>39</x:v>
      </x:c>
      <x:c r="J10" s="5" t="s">
        <x:v>40</x:v>
      </x:c>
      <x:c r="K10" s="29"/>
      <x:c r="L10" s="11"/>
      <x:c r="M10" s="43" t="n">
        <x:v>14</x:v>
      </x:c>
      <x:c r="N10" s="44" t="str">
        <x:v>05B</x:v>
      </x:c>
    </x:row>
    <x:row r="11">
      <x:c r="A11" s="4" t="s">
        <x:v>29</x:v>
      </x:c>
      <x:c r="B11" s="5" t="s">
        <x:v>41</x:v>
      </x:c>
      <x:c r="C11" s="8" t="s">
        <x:v>42</x:v>
      </x:c>
      <x:c r="D11" s="8" t="s">
        <x:v>16</x:v>
      </x:c>
      <x:c r="E11" s="5" t="s">
        <x:v>17</x:v>
      </x:c>
      <x:c r="F11" s="5"/>
      <x:c r="G11" s="5"/>
      <x:c r="H11" s="5" t="s">
        <x:v>18</x:v>
      </x:c>
      <x:c r="I11" s="26" t="s">
        <x:v>18</x:v>
      </x:c>
      <x:c r="J11" s="5" t="s">
        <x:v>43</x:v>
      </x:c>
      <x:c r="K11" s="29"/>
      <x:c r="L11" s="11"/>
      <x:c r="M11" s="43" t="n">
        <x:v>14</x:v>
      </x:c>
      <x:c r="N11" s="44" t="str">
        <x:v>04A</x:v>
      </x:c>
    </x:row>
    <x:row r="12">
      <x:c r="A12" s="4" t="s">
        <x:v>29</x:v>
      </x:c>
      <x:c r="B12" s="5" t="s">
        <x:v>44</x:v>
      </x:c>
      <x:c r="C12" s="8" t="s">
        <x:v>45</x:v>
      </x:c>
      <x:c r="D12" s="8" t="s">
        <x:v>16</x:v>
      </x:c>
      <x:c r="E12" s="5" t="s">
        <x:v>17</x:v>
      </x:c>
      <x:c r="F12" s="5"/>
      <x:c r="G12" s="5"/>
      <x:c r="H12" s="5" t="s">
        <x:v>18</x:v>
      </x:c>
      <x:c r="I12" s="5" t="s">
        <x:v>46</x:v>
      </x:c>
      <x:c r="J12" s="5" t="s">
        <x:v>47</x:v>
      </x:c>
      <x:c r="K12" s="29"/>
      <x:c r="L12" s="11"/>
      <x:c r="M12" s="43" t="n">
        <x:v>14</x:v>
      </x:c>
      <x:c r="N12" s="44" t="str">
        <x:v>05A</x:v>
      </x:c>
    </x:row>
    <x:row r="13">
      <x:c r="A13" s="4" t="s">
        <x:v>33</x:v>
      </x:c>
      <x:c r="B13" s="5" t="s">
        <x:v>48</x:v>
      </x:c>
      <x:c r="C13" s="8" t="s">
        <x:v>49</x:v>
      </x:c>
      <x:c r="D13" s="8" t="s">
        <x:v>16</x:v>
      </x:c>
      <x:c r="E13" s="5" t="s">
        <x:v>27</x:v>
      </x:c>
      <x:c r="F13" s="5"/>
      <x:c r="G13" s="5"/>
      <x:c r="H13" s="5" t="s">
        <x:v>18</x:v>
      </x:c>
      <x:c r="I13" s="26" t="s">
        <x:v>19</x:v>
      </x:c>
      <x:c r="J13" s="5" t="s">
        <x:v>20</x:v>
      </x:c>
      <x:c r="K13" s="29"/>
      <x:c r="L13" s="11"/>
      <x:c r="M13" s="43" t="n">
        <x:v>14</x:v>
      </x:c>
      <x:c r="N13" s="44" t="str">
        <x:v>05D</x:v>
      </x:c>
    </x:row>
    <x:row r="14">
      <x:c r="A14" s="4" t="s">
        <x:v>33</x:v>
      </x:c>
      <x:c r="B14" s="5" t="s">
        <x:v>50</x:v>
      </x:c>
      <x:c r="C14" s="8" t="s">
        <x:v>51</x:v>
      </x:c>
      <x:c r="D14" s="8" t="s">
        <x:v>16</x:v>
      </x:c>
      <x:c r="E14" s="5" t="s">
        <x:v>27</x:v>
      </x:c>
      <x:c r="F14" s="5"/>
      <x:c r="G14" s="5"/>
      <x:c r="H14" s="5" t="s">
        <x:v>18</x:v>
      </x:c>
      <x:c r="I14" s="5" t="s">
        <x:v>46</x:v>
      </x:c>
      <x:c r="J14" s="5" t="s">
        <x:v>47</x:v>
      </x:c>
      <x:c r="K14" s="29"/>
      <x:c r="L14" s="11"/>
      <x:c r="M14" s="43" t="n">
        <x:v>14</x:v>
      </x:c>
      <x:c r="N14" s="44" t="str">
        <x:v>05F</x:v>
      </x:c>
    </x:row>
    <x:row r="15" ht="19">
      <x:c r="A15" s="4" t="s">
        <x:v>37</x:v>
      </x:c>
      <x:c r="B15" s="5" t="s">
        <x:v>52</x:v>
      </x:c>
      <x:c r="C15" s="8" t="s">
        <x:v>53</x:v>
      </x:c>
      <x:c r="D15" s="8" t="s">
        <x:v>54</x:v>
      </x:c>
      <x:c r="E15" s="5" t="s">
        <x:v>17</x:v>
      </x:c>
      <x:c r="F15" s="5"/>
      <x:c r="G15" s="5"/>
      <x:c r="H15" s="5" t="s">
        <x:v>31</x:v>
      </x:c>
      <x:c r="I15" s="26" t="s">
        <x:v>18</x:v>
      </x:c>
      <x:c r="J15" s="5" t="s">
        <x:v>43</x:v>
      </x:c>
      <x:c r="K15" s="31" t="s">
        <x:v>12</x:v>
      </x:c>
      <x:c r="L15" s="11"/>
      <x:c r="M15" s="43" t="n">
        <x:v>14</x:v>
      </x:c>
      <x:c r="N15" s="44" t="str">
        <x:v>06A</x:v>
      </x:c>
    </x:row>
    <x:row r="16">
      <x:c r="A16" s="4" t="s">
        <x:v>37</x:v>
      </x:c>
      <x:c r="B16" s="5" t="s">
        <x:v>55</x:v>
      </x:c>
      <x:c r="C16" s="8" t="s">
        <x:v>56</x:v>
      </x:c>
      <x:c r="D16" s="8" t="s">
        <x:v>54</x:v>
      </x:c>
      <x:c r="E16" s="5" t="s">
        <x:v>17</x:v>
      </x:c>
      <x:c r="F16" s="5"/>
      <x:c r="G16" s="5"/>
      <x:c r="H16" s="5" t="s">
        <x:v>31</x:v>
      </x:c>
      <x:c r="I16" s="5" t="s">
        <x:v>31</x:v>
      </x:c>
      <x:c r="J16" s="5" t="s">
        <x:v>32</x:v>
      </x:c>
      <x:c r="K16" s="29"/>
      <x:c r="L16" s="11"/>
      <x:c r="M16" s="43" t="n">
        <x:v>14</x:v>
      </x:c>
      <x:c r="N16" s="44" t="str">
        <x:v>06B</x:v>
      </x:c>
    </x:row>
    <x:row r="17">
      <x:c r="A17" s="4" t="s">
        <x:v>41</x:v>
      </x:c>
      <x:c r="B17" s="5" t="s">
        <x:v>57</x:v>
      </x:c>
      <x:c r="C17" s="8" t="s">
        <x:v>58</x:v>
      </x:c>
      <x:c r="D17" s="8" t="s">
        <x:v>59</x:v>
      </x:c>
      <x:c r="E17" s="5" t="s">
        <x:v>17</x:v>
      </x:c>
      <x:c r="F17" s="5"/>
      <x:c r="G17" s="5"/>
      <x:c r="H17" s="5" t="s">
        <x:v>23</x:v>
      </x:c>
      <x:c r="I17" s="26" t="s">
        <x:v>60</x:v>
      </x:c>
      <x:c r="J17" s="5" t="s">
        <x:v>61</x:v>
      </x:c>
      <x:c r="K17" s="29"/>
      <x:c r="L17" s="11"/>
      <x:c r="M17" s="43" t="n">
        <x:v>14</x:v>
      </x:c>
      <x:c r="N17" s="44" t="str">
        <x:v>06C</x:v>
      </x:c>
    </x:row>
    <x:row r="18">
      <x:c r="A18" s="4" t="s">
        <x:v>41</x:v>
      </x:c>
      <x:c r="B18" s="5" t="s">
        <x:v>62</x:v>
      </x:c>
      <x:c r="C18" s="8" t="s">
        <x:v>63</x:v>
      </x:c>
      <x:c r="D18" s="8" t="s">
        <x:v>59</x:v>
      </x:c>
      <x:c r="E18" s="5" t="s">
        <x:v>17</x:v>
      </x:c>
      <x:c r="F18" s="5"/>
      <x:c r="G18" s="5"/>
      <x:c r="H18" s="5" t="s">
        <x:v>23</x:v>
      </x:c>
      <x:c r="I18" s="5" t="s">
        <x:v>60</x:v>
      </x:c>
      <x:c r="J18" s="5" t="s">
        <x:v>61</x:v>
      </x:c>
      <x:c r="K18" s="29"/>
      <x:c r="L18" s="11"/>
      <x:c r="M18" s="43" t="n">
        <x:v>14</x:v>
      </x:c>
      <x:c r="N18" s="44" t="str">
        <x:v>06D</x:v>
      </x:c>
    </x:row>
    <x:row r="19" ht="19">
      <x:c r="A19" s="4" t="s">
        <x:v>44</x:v>
      </x:c>
      <x:c r="B19" s="5" t="s">
        <x:v>64</x:v>
      </x:c>
      <x:c r="C19" s="8" t="s">
        <x:v>65</x:v>
      </x:c>
      <x:c r="D19" s="8" t="s">
        <x:v>59</x:v>
      </x:c>
      <x:c r="E19" s="5" t="s">
        <x:v>17</x:v>
      </x:c>
      <x:c r="F19" s="5"/>
      <x:c r="G19" s="5"/>
      <x:c r="H19" s="5" t="s">
        <x:v>23</x:v>
      </x:c>
      <x:c r="I19" s="26" t="s">
        <x:v>46</x:v>
      </x:c>
      <x:c r="J19" s="5" t="s">
        <x:v>47</x:v>
      </x:c>
      <x:c r="K19" s="31" t="s">
        <x:v>12</x:v>
      </x:c>
      <x:c r="L19" s="11"/>
      <x:c r="M19" s="43" t="n">
        <x:v>14</x:v>
      </x:c>
      <x:c r="N19" s="44" t="str">
        <x:v>07A</x:v>
      </x:c>
    </x:row>
    <x:row r="20">
      <x:c r="A20" s="4" t="s">
        <x:v>44</x:v>
      </x:c>
      <x:c r="B20" s="5" t="s">
        <x:v>66</x:v>
      </x:c>
      <x:c r="C20" s="8" t="s">
        <x:v>67</x:v>
      </x:c>
      <x:c r="D20" s="8" t="s">
        <x:v>59</x:v>
      </x:c>
      <x:c r="E20" s="5" t="s">
        <x:v>17</x:v>
      </x:c>
      <x:c r="F20" s="5"/>
      <x:c r="G20" s="5"/>
      <x:c r="H20" s="5" t="s">
        <x:v>23</x:v>
      </x:c>
      <x:c r="I20" s="5" t="s">
        <x:v>35</x:v>
      </x:c>
      <x:c r="J20" s="5" t="s">
        <x:v>36</x:v>
      </x:c>
      <x:c r="K20" s="28" t="s">
        <x:v>12</x:v>
      </x:c>
      <x:c r="L20" s="11"/>
      <x:c r="M20" s="43" t="n">
        <x:v>14</x:v>
      </x:c>
      <x:c r="N20" s="44" t="str">
        <x:v>07C</x:v>
      </x:c>
    </x:row>
    <x:row r="21">
      <x:c r="A21" s="4" t="s">
        <x:v>48</x:v>
      </x:c>
      <x:c r="B21" s="5" t="s">
        <x:v>68</x:v>
      </x:c>
      <x:c r="C21" s="8" t="s">
        <x:v>69</x:v>
      </x:c>
      <x:c r="D21" s="8" t="s">
        <x:v>59</x:v>
      </x:c>
      <x:c r="E21" s="5" t="s">
        <x:v>27</x:v>
      </x:c>
      <x:c r="F21" s="5"/>
      <x:c r="G21" s="5"/>
      <x:c r="H21" s="5" t="s">
        <x:v>23</x:v>
      </x:c>
      <x:c r="I21" s="26" t="s">
        <x:v>31</x:v>
      </x:c>
      <x:c r="J21" s="5" t="s">
        <x:v>32</x:v>
      </x:c>
      <x:c r="K21" s="29"/>
      <x:c r="L21" s="11"/>
      <x:c r="M21" s="43" t="n">
        <x:v>14</x:v>
      </x:c>
      <x:c r="N21" s="44" t="str">
        <x:v>06F</x:v>
      </x:c>
    </x:row>
    <x:row r="22">
      <x:c r="A22" s="4" t="s">
        <x:v>48</x:v>
      </x:c>
      <x:c r="B22" s="5" t="s">
        <x:v>70</x:v>
      </x:c>
      <x:c r="C22" s="8" t="s">
        <x:v>71</x:v>
      </x:c>
      <x:c r="D22" s="8" t="s">
        <x:v>59</x:v>
      </x:c>
      <x:c r="E22" s="5" t="s">
        <x:v>27</x:v>
      </x:c>
      <x:c r="F22" s="5"/>
      <x:c r="G22" s="5"/>
      <x:c r="H22" s="5" t="s">
        <x:v>23</x:v>
      </x:c>
      <x:c r="I22" s="5" t="s">
        <x:v>72</x:v>
      </x:c>
      <x:c r="J22" s="5" t="s">
        <x:v>73</x:v>
      </x:c>
      <x:c r="K22" s="29"/>
      <x:c r="L22" s="11"/>
      <x:c r="M22" s="43" t="n">
        <x:v>14</x:v>
      </x:c>
      <x:c r="N22" s="44" t="str">
        <x:v>07D</x:v>
      </x:c>
    </x:row>
    <x:row r="23">
      <x:c r="A23" s="4" t="s">
        <x:v>50</x:v>
      </x:c>
      <x:c r="B23" s="5" t="s">
        <x:v>74</x:v>
      </x:c>
      <x:c r="C23" s="8" t="s">
        <x:v>75</x:v>
      </x:c>
      <x:c r="D23" s="8" t="s">
        <x:v>59</x:v>
      </x:c>
      <x:c r="E23" s="5" t="s">
        <x:v>27</x:v>
      </x:c>
      <x:c r="F23" s="5"/>
      <x:c r="G23" s="5"/>
      <x:c r="H23" s="5" t="s">
        <x:v>23</x:v>
      </x:c>
      <x:c r="I23" s="26" t="s">
        <x:v>23</x:v>
      </x:c>
      <x:c r="J23" s="5" t="s">
        <x:v>24</x:v>
      </x:c>
      <x:c r="K23" s="29"/>
      <x:c r="L23" s="11"/>
      <x:c r="M23" s="43" t="n">
        <x:v>14</x:v>
      </x:c>
      <x:c r="N23" s="44" t="str">
        <x:v>07B</x:v>
      </x:c>
    </x:row>
    <x:row r="24">
      <x:c r="A24" s="4" t="s">
        <x:v>50</x:v>
      </x:c>
      <x:c r="B24" s="5" t="s">
        <x:v>76</x:v>
      </x:c>
      <x:c r="C24" s="8" t="s">
        <x:v>77</x:v>
      </x:c>
      <x:c r="D24" s="8" t="s">
        <x:v>78</x:v>
      </x:c>
      <x:c r="E24" s="5" t="s">
        <x:v>27</x:v>
      </x:c>
      <x:c r="F24" s="5"/>
      <x:c r="G24" s="5"/>
      <x:c r="H24" s="5" t="s">
        <x:v>39</x:v>
      </x:c>
      <x:c r="I24" s="5" t="s">
        <x:v>31</x:v>
      </x:c>
      <x:c r="J24" s="5" t="s">
        <x:v>32</x:v>
      </x:c>
      <x:c r="K24" s="29"/>
      <x:c r="L24" s="11"/>
      <x:c r="M24" s="43" t="n">
        <x:v>14</x:v>
      </x:c>
      <x:c r="N24" s="44" t="str">
        <x:v>12F</x:v>
      </x:c>
    </x:row>
    <x:row r="25">
      <x:c r="A25" s="4" t="s">
        <x:v>52</x:v>
      </x:c>
      <x:c r="B25" s="5" t="s">
        <x:v>79</x:v>
      </x:c>
      <x:c r="C25" s="8" t="s">
        <x:v>80</x:v>
      </x:c>
      <x:c r="D25" s="8" t="s">
        <x:v>81</x:v>
      </x:c>
      <x:c r="E25" s="5" t="s">
        <x:v>27</x:v>
      </x:c>
      <x:c r="F25" s="5"/>
      <x:c r="G25" s="5"/>
      <x:c r="H25" s="5" t="s">
        <x:v>72</x:v>
      </x:c>
      <x:c r="I25" s="26" t="s">
        <x:v>72</x:v>
      </x:c>
      <x:c r="J25" s="5" t="s">
        <x:v>73</x:v>
      </x:c>
      <x:c r="K25" s="29"/>
      <x:c r="L25" s="11"/>
      <x:c r="M25" s="43" t="n">
        <x:v>14</x:v>
      </x:c>
      <x:c r="N25" s="44" t="str">
        <x:v>14D</x:v>
      </x:c>
    </x:row>
    <x:row r="26">
      <x:c r="A26" s="4" t="s">
        <x:v>52</x:v>
      </x:c>
      <x:c r="B26" s="5" t="s">
        <x:v>82</x:v>
      </x:c>
      <x:c r="C26" s="8" t="s">
        <x:v>83</x:v>
      </x:c>
      <x:c r="D26" s="8" t="s">
        <x:v>78</x:v>
      </x:c>
      <x:c r="E26" s="5" t="s">
        <x:v>27</x:v>
      </x:c>
      <x:c r="F26" s="5"/>
      <x:c r="G26" s="5"/>
      <x:c r="H26" s="5" t="s">
        <x:v>19</x:v>
      </x:c>
      <x:c r="I26" s="5" t="s">
        <x:v>31</x:v>
      </x:c>
      <x:c r="J26" s="5" t="s">
        <x:v>32</x:v>
      </x:c>
      <x:c r="K26" s="29"/>
      <x:c r="L26" s="11"/>
      <x:c r="M26" s="43" t="n">
        <x:v>14</x:v>
      </x:c>
      <x:c r="N26" s="44" t="str">
        <x:v>09B</x:v>
      </x:c>
    </x:row>
    <x:row r="27">
      <x:c r="A27" s="4" t="s">
        <x:v>55</x:v>
      </x:c>
      <x:c r="B27" s="5" t="s">
        <x:v>84</x:v>
      </x:c>
      <x:c r="C27" s="8" t="s">
        <x:v>85</x:v>
      </x:c>
      <x:c r="D27" s="8" t="s">
        <x:v>78</x:v>
      </x:c>
      <x:c r="E27" s="5" t="s">
        <x:v>17</x:v>
      </x:c>
      <x:c r="F27" s="5"/>
      <x:c r="G27" s="5"/>
      <x:c r="H27" s="5" t="s">
        <x:v>19</x:v>
      </x:c>
      <x:c r="I27" s="26" t="s">
        <x:v>60</x:v>
      </x:c>
      <x:c r="J27" s="5" t="s">
        <x:v>61</x:v>
      </x:c>
      <x:c r="K27" s="29"/>
      <x:c r="L27" s="11"/>
      <x:c r="M27" s="43" t="n">
        <x:v>14</x:v>
      </x:c>
      <x:c r="N27" s="44" t="str">
        <x:v>09A</x:v>
      </x:c>
    </x:row>
    <x:row r="28">
      <x:c r="A28" s="4" t="s">
        <x:v>55</x:v>
      </x:c>
      <x:c r="B28" s="5" t="s">
        <x:v>86</x:v>
      </x:c>
      <x:c r="C28" s="8" t="s">
        <x:v>87</x:v>
      </x:c>
      <x:c r="D28" s="8" t="s">
        <x:v>78</x:v>
      </x:c>
      <x:c r="E28" s="5" t="s">
        <x:v>17</x:v>
      </x:c>
      <x:c r="F28" s="5"/>
      <x:c r="G28" s="5"/>
      <x:c r="H28" s="5" t="s">
        <x:v>19</x:v>
      </x:c>
      <x:c r="I28" s="5" t="s">
        <x:v>35</x:v>
      </x:c>
      <x:c r="J28" s="5" t="s">
        <x:v>36</x:v>
      </x:c>
      <x:c r="K28" s="29"/>
      <x:c r="L28" s="11"/>
      <x:c r="M28" s="43" t="n">
        <x:v>14</x:v>
      </x:c>
      <x:c r="N28" s="44" t="str">
        <x:v>09F</x:v>
      </x:c>
    </x:row>
    <x:row r="29">
      <x:c r="A29" s="4" t="s">
        <x:v>57</x:v>
      </x:c>
      <x:c r="B29" s="5" t="s">
        <x:v>88</x:v>
      </x:c>
      <x:c r="C29" s="8" t="s">
        <x:v>89</x:v>
      </x:c>
      <x:c r="D29" s="8" t="s">
        <x:v>78</x:v>
      </x:c>
      <x:c r="E29" s="5" t="s">
        <x:v>17</x:v>
      </x:c>
      <x:c r="F29" s="5"/>
      <x:c r="G29" s="5"/>
      <x:c r="H29" s="5" t="s">
        <x:v>39</x:v>
      </x:c>
      <x:c r="I29" s="26" t="s">
        <x:v>18</x:v>
      </x:c>
      <x:c r="J29" s="5" t="s">
        <x:v>43</x:v>
      </x:c>
      <x:c r="K29" s="29"/>
      <x:c r="L29" s="11"/>
      <x:c r="M29" s="43" t="n">
        <x:v>14</x:v>
      </x:c>
      <x:c r="N29" s="44" t="str">
        <x:v>13A</x:v>
      </x:c>
    </x:row>
    <x:row r="30">
      <x:c r="A30" s="4" t="s">
        <x:v>57</x:v>
      </x:c>
      <x:c r="B30" s="5" t="s">
        <x:v>90</x:v>
      </x:c>
      <x:c r="C30" s="8" t="s">
        <x:v>91</x:v>
      </x:c>
      <x:c r="D30" s="8" t="s">
        <x:v>78</x:v>
      </x:c>
      <x:c r="E30" s="5" t="s">
        <x:v>17</x:v>
      </x:c>
      <x:c r="F30" s="5"/>
      <x:c r="G30" s="5"/>
      <x:c r="H30" s="5" t="s">
        <x:v>19</x:v>
      </x:c>
      <x:c r="I30" s="5" t="s">
        <x:v>35</x:v>
      </x:c>
      <x:c r="J30" s="5" t="s">
        <x:v>36</x:v>
      </x:c>
      <x:c r="K30" s="29"/>
      <x:c r="L30" s="11"/>
      <x:c r="M30" s="43" t="n">
        <x:v>14</x:v>
      </x:c>
      <x:c r="N30" s="44" t="str">
        <x:v>10D</x:v>
      </x:c>
    </x:row>
    <x:row r="31">
      <x:c r="A31" s="4" t="s">
        <x:v>62</x:v>
      </x:c>
      <x:c r="B31" s="5" t="s">
        <x:v>92</x:v>
      </x:c>
      <x:c r="C31" s="8" t="s">
        <x:v>93</x:v>
      </x:c>
      <x:c r="D31" s="8" t="s">
        <x:v>78</x:v>
      </x:c>
      <x:c r="E31" s="5" t="s">
        <x:v>27</x:v>
      </x:c>
      <x:c r="F31" s="5"/>
      <x:c r="G31" s="5"/>
      <x:c r="H31" s="5" t="s">
        <x:v>19</x:v>
      </x:c>
      <x:c r="I31" s="26" t="s">
        <x:v>39</x:v>
      </x:c>
      <x:c r="J31" s="5" t="s">
        <x:v>40</x:v>
      </x:c>
      <x:c r="K31" s="29"/>
      <x:c r="L31" s="11"/>
      <x:c r="M31" s="43" t="n">
        <x:v>14</x:v>
      </x:c>
      <x:c r="N31" s="44" t="str">
        <x:v>10B</x:v>
      </x:c>
    </x:row>
    <x:row r="32">
      <x:c r="A32" s="4" t="s">
        <x:v>62</x:v>
      </x:c>
      <x:c r="B32" s="5" t="s">
        <x:v>94</x:v>
      </x:c>
      <x:c r="C32" s="8" t="s">
        <x:v>95</x:v>
      </x:c>
      <x:c r="D32" s="8" t="s">
        <x:v>78</x:v>
      </x:c>
      <x:c r="E32" s="5" t="s">
        <x:v>27</x:v>
      </x:c>
      <x:c r="F32" s="5"/>
      <x:c r="G32" s="5"/>
      <x:c r="H32" s="5" t="s">
        <x:v>19</x:v>
      </x:c>
      <x:c r="I32" s="5" t="s">
        <x:v>39</x:v>
      </x:c>
      <x:c r="J32" s="5" t="s">
        <x:v>40</x:v>
      </x:c>
      <x:c r="K32" s="29"/>
      <x:c r="L32" s="11"/>
      <x:c r="M32" s="43" t="n">
        <x:v>14</x:v>
      </x:c>
      <x:c r="N32" s="44" t="str">
        <x:v>09C</x:v>
      </x:c>
    </x:row>
    <x:row r="33">
      <x:c r="A33" s="4" t="s">
        <x:v>64</x:v>
      </x:c>
      <x:c r="B33" s="5" t="s">
        <x:v>96</x:v>
      </x:c>
      <x:c r="C33" s="8" t="s">
        <x:v>97</x:v>
      </x:c>
      <x:c r="D33" s="8" t="s">
        <x:v>78</x:v>
      </x:c>
      <x:c r="E33" s="5" t="s">
        <x:v>27</x:v>
      </x:c>
      <x:c r="F33" s="5"/>
      <x:c r="G33" s="5"/>
      <x:c r="H33" s="5" t="s">
        <x:v>19</x:v>
      </x:c>
      <x:c r="I33" s="26" t="s">
        <x:v>60</x:v>
      </x:c>
      <x:c r="J33" s="5" t="s">
        <x:v>61</x:v>
      </x:c>
      <x:c r="K33" s="29"/>
      <x:c r="L33" s="11"/>
      <x:c r="M33" s="43" t="n">
        <x:v>14</x:v>
      </x:c>
      <x:c r="N33" s="44" t="str">
        <x:v>09D</x:v>
      </x:c>
    </x:row>
    <x:row r="34">
      <x:c r="A34" s="4" t="s">
        <x:v>64</x:v>
      </x:c>
      <x:c r="B34" s="5" t="s">
        <x:v>98</x:v>
      </x:c>
      <x:c r="C34" s="8" t="s">
        <x:v>99</x:v>
      </x:c>
      <x:c r="D34" s="8" t="s">
        <x:v>78</x:v>
      </x:c>
      <x:c r="E34" s="5" t="s">
        <x:v>27</x:v>
      </x:c>
      <x:c r="F34" s="5"/>
      <x:c r="G34" s="5"/>
      <x:c r="H34" s="5" t="s">
        <x:v>19</x:v>
      </x:c>
      <x:c r="I34" s="5" t="s">
        <x:v>35</x:v>
      </x:c>
      <x:c r="J34" s="5" t="s">
        <x:v>36</x:v>
      </x:c>
      <x:c r="K34" s="29"/>
      <x:c r="L34" s="11"/>
      <x:c r="M34" s="43" t="n">
        <x:v>14</x:v>
      </x:c>
      <x:c r="N34" s="44" t="str">
        <x:v>10C</x:v>
      </x:c>
    </x:row>
    <x:row r="35">
      <x:c r="A35" s="4" t="s">
        <x:v>66</x:v>
      </x:c>
      <x:c r="B35" s="5" t="s">
        <x:v>100</x:v>
      </x:c>
      <x:c r="C35" s="8" t="s">
        <x:v>101</x:v>
      </x:c>
      <x:c r="D35" s="8" t="s">
        <x:v>78</x:v>
      </x:c>
      <x:c r="E35" s="5" t="s">
        <x:v>17</x:v>
      </x:c>
      <x:c r="F35" s="5"/>
      <x:c r="G35" s="5"/>
      <x:c r="H35" s="5" t="s">
        <x:v>19</x:v>
      </x:c>
      <x:c r="I35" s="26" t="s">
        <x:v>46</x:v>
      </x:c>
      <x:c r="J35" s="5" t="s">
        <x:v>47</x:v>
      </x:c>
      <x:c r="K35" s="29"/>
      <x:c r="L35" s="11"/>
      <x:c r="M35" s="43" t="n">
        <x:v>14</x:v>
      </x:c>
      <x:c r="N35" s="44" t="str">
        <x:v>10F</x:v>
      </x:c>
    </x:row>
    <x:row r="36">
      <x:c r="A36" s="4" t="s">
        <x:v>66</x:v>
      </x:c>
      <x:c r="B36" s="5" t="s">
        <x:v>102</x:v>
      </x:c>
      <x:c r="C36" s="8" t="s">
        <x:v>103</x:v>
      </x:c>
      <x:c r="D36" s="8" t="s">
        <x:v>78</x:v>
      </x:c>
      <x:c r="E36" s="5" t="s">
        <x:v>17</x:v>
      </x:c>
      <x:c r="F36" s="5"/>
      <x:c r="G36" s="5"/>
      <x:c r="H36" s="5" t="s">
        <x:v>39</x:v>
      </x:c>
      <x:c r="I36" s="5" t="s">
        <x:v>23</x:v>
      </x:c>
      <x:c r="J36" s="5" t="s">
        <x:v>24</x:v>
      </x:c>
      <x:c r="K36" s="29"/>
      <x:c r="L36" s="11"/>
      <x:c r="M36" s="43" t="n">
        <x:v>14</x:v>
      </x:c>
      <x:c r="N36" s="44" t="str">
        <x:v>11B</x:v>
      </x:c>
    </x:row>
    <x:row r="37">
      <x:c r="A37" s="4" t="s">
        <x:v>68</x:v>
      </x:c>
      <x:c r="B37" s="5" t="s">
        <x:v>104</x:v>
      </x:c>
      <x:c r="C37" s="8" t="s">
        <x:v>105</x:v>
      </x:c>
      <x:c r="D37" s="8" t="s">
        <x:v>78</x:v>
      </x:c>
      <x:c r="E37" s="5" t="s">
        <x:v>17</x:v>
      </x:c>
      <x:c r="F37" s="5"/>
      <x:c r="G37" s="5"/>
      <x:c r="H37" s="5" t="s">
        <x:v>39</x:v>
      </x:c>
      <x:c r="I37" s="26" t="s">
        <x:v>39</x:v>
      </x:c>
      <x:c r="J37" s="5" t="s">
        <x:v>40</x:v>
      </x:c>
      <x:c r="K37" s="29"/>
      <x:c r="L37" s="11"/>
      <x:c r="M37" s="43" t="n">
        <x:v>14</x:v>
      </x:c>
      <x:c r="N37" s="44" t="str">
        <x:v>12B</x:v>
      </x:c>
    </x:row>
    <x:row r="38">
      <x:c r="A38" s="4" t="s">
        <x:v>68</x:v>
      </x:c>
      <x:c r="B38" s="5" t="s">
        <x:v>106</x:v>
      </x:c>
      <x:c r="C38" s="8" t="s">
        <x:v>107</x:v>
      </x:c>
      <x:c r="D38" s="8" t="s">
        <x:v>78</x:v>
      </x:c>
      <x:c r="E38" s="5" t="s">
        <x:v>17</x:v>
      </x:c>
      <x:c r="F38" s="5"/>
      <x:c r="G38" s="5"/>
      <x:c r="H38" s="5" t="s">
        <x:v>39</x:v>
      </x:c>
      <x:c r="I38" s="5" t="s">
        <x:v>35</x:v>
      </x:c>
      <x:c r="J38" s="5" t="s">
        <x:v>36</x:v>
      </x:c>
      <x:c r="K38" s="29"/>
      <x:c r="L38" s="11"/>
      <x:c r="M38" s="43" t="n">
        <x:v>14</x:v>
      </x:c>
      <x:c r="N38" s="44" t="str">
        <x:v>11F</x:v>
      </x:c>
    </x:row>
    <x:row r="39">
      <x:c r="A39" s="4" t="s">
        <x:v>70</x:v>
      </x:c>
      <x:c r="B39" s="5" t="s">
        <x:v>108</x:v>
      </x:c>
      <x:c r="C39" s="8" t="s">
        <x:v>109</x:v>
      </x:c>
      <x:c r="D39" s="8" t="s">
        <x:v>78</x:v>
      </x:c>
      <x:c r="E39" s="5" t="s">
        <x:v>17</x:v>
      </x:c>
      <x:c r="F39" s="5"/>
      <x:c r="G39" s="5"/>
      <x:c r="H39" s="5" t="s">
        <x:v>72</x:v>
      </x:c>
      <x:c r="I39" s="26" t="s">
        <x:v>18</x:v>
      </x:c>
      <x:c r="J39" s="5" t="s">
        <x:v>43</x:v>
      </x:c>
      <x:c r="K39" s="29"/>
      <x:c r="L39" s="11"/>
      <x:c r="M39" s="43" t="n">
        <x:v>14</x:v>
      </x:c>
      <x:c r="N39" s="44" t="str">
        <x:v>14A</x:v>
      </x:c>
    </x:row>
    <x:row r="40">
      <x:c r="A40" s="4" t="s">
        <x:v>70</x:v>
      </x:c>
      <x:c r="B40" s="5" t="s">
        <x:v>110</x:v>
      </x:c>
      <x:c r="C40" s="8" t="s">
        <x:v>111</x:v>
      </x:c>
      <x:c r="D40" s="8" t="s">
        <x:v>78</x:v>
      </x:c>
      <x:c r="E40" s="5" t="s">
        <x:v>17</x:v>
      </x:c>
      <x:c r="F40" s="5"/>
      <x:c r="G40" s="5"/>
      <x:c r="H40" s="5" t="s">
        <x:v>72</x:v>
      </x:c>
      <x:c r="I40" s="5" t="s">
        <x:v>46</x:v>
      </x:c>
      <x:c r="J40" s="5" t="s">
        <x:v>47</x:v>
      </x:c>
      <x:c r="K40" s="29"/>
      <x:c r="L40" s="11"/>
      <x:c r="M40" s="43" t="n">
        <x:v>14</x:v>
      </x:c>
      <x:c r="N40" s="44" t="str">
        <x:v>10A</x:v>
      </x:c>
    </x:row>
    <x:row r="41">
      <x:c r="A41" s="4" t="s">
        <x:v>74</x:v>
      </x:c>
      <x:c r="B41" s="5" t="s">
        <x:v>112</x:v>
      </x:c>
      <x:c r="C41" s="8" t="s">
        <x:v>113</x:v>
      </x:c>
      <x:c r="D41" s="8" t="s">
        <x:v>78</x:v>
      </x:c>
      <x:c r="E41" s="5" t="s">
        <x:v>27</x:v>
      </x:c>
      <x:c r="F41" s="5"/>
      <x:c r="G41" s="5"/>
      <x:c r="H41" s="5" t="s">
        <x:v>39</x:v>
      </x:c>
      <x:c r="I41" s="26" t="s">
        <x:v>46</x:v>
      </x:c>
      <x:c r="J41" s="5" t="s">
        <x:v>47</x:v>
      </x:c>
      <x:c r="K41" s="29"/>
      <x:c r="L41" s="11"/>
      <x:c r="M41" s="43" t="n">
        <x:v>14</x:v>
      </x:c>
      <x:c r="N41" s="44" t="str">
        <x:v>12A</x:v>
      </x:c>
    </x:row>
    <x:row r="42">
      <x:c r="A42" s="4" t="s">
        <x:v>74</x:v>
      </x:c>
      <x:c r="B42" s="5" t="s">
        <x:v>114</x:v>
      </x:c>
      <x:c r="C42" s="8" t="s">
        <x:v>115</x:v>
      </x:c>
      <x:c r="D42" s="8" t="s">
        <x:v>78</x:v>
      </x:c>
      <x:c r="E42" s="5" t="s">
        <x:v>17</x:v>
      </x:c>
      <x:c r="F42" s="5"/>
      <x:c r="G42" s="5"/>
      <x:c r="H42" s="5" t="s">
        <x:v>39</x:v>
      </x:c>
      <x:c r="I42" s="5" t="s">
        <x:v>19</x:v>
      </x:c>
      <x:c r="J42" s="5" t="s">
        <x:v>20</x:v>
      </x:c>
      <x:c r="K42" s="29"/>
      <x:c r="L42" s="11"/>
      <x:c r="M42" s="43" t="n">
        <x:v>14</x:v>
      </x:c>
      <x:c r="N42" s="44" t="str">
        <x:v>11D</x:v>
      </x:c>
    </x:row>
    <x:row r="43">
      <x:c r="A43" s="4" t="s">
        <x:v>76</x:v>
      </x:c>
      <x:c r="B43" s="5" t="s">
        <x:v>116</x:v>
      </x:c>
      <x:c r="C43" s="8" t="s">
        <x:v>117</x:v>
      </x:c>
      <x:c r="D43" s="8" t="s">
        <x:v>81</x:v>
      </x:c>
      <x:c r="E43" s="5" t="s">
        <x:v>17</x:v>
      </x:c>
      <x:c r="F43" s="5"/>
      <x:c r="G43" s="5"/>
      <x:c r="H43" s="5" t="s">
        <x:v>39</x:v>
      </x:c>
      <x:c r="I43" s="26" t="s">
        <x:v>23</x:v>
      </x:c>
      <x:c r="J43" s="5" t="s">
        <x:v>24</x:v>
      </x:c>
      <x:c r="K43" s="29"/>
      <x:c r="L43" s="11"/>
      <x:c r="M43" s="43" t="n">
        <x:v>14</x:v>
      </x:c>
      <x:c r="N43" s="44" t="str">
        <x:v>12C</x:v>
      </x:c>
    </x:row>
    <x:row r="44">
      <x:c r="A44" s="4" t="s">
        <x:v>76</x:v>
      </x:c>
      <x:c r="B44" s="5" t="s">
        <x:v>118</x:v>
      </x:c>
      <x:c r="C44" s="8" t="s">
        <x:v>119</x:v>
      </x:c>
      <x:c r="D44" s="8" t="s">
        <x:v>81</x:v>
      </x:c>
      <x:c r="E44" s="5" t="s">
        <x:v>17</x:v>
      </x:c>
      <x:c r="F44" s="5"/>
      <x:c r="G44" s="5"/>
      <x:c r="H44" s="5" t="s">
        <x:v>39</x:v>
      </x:c>
      <x:c r="I44" s="5" t="s">
        <x:v>31</x:v>
      </x:c>
      <x:c r="J44" s="5" t="s">
        <x:v>32</x:v>
      </x:c>
      <x:c r="K44" s="29"/>
      <x:c r="L44" s="11"/>
      <x:c r="M44" s="43" t="n">
        <x:v>14</x:v>
      </x:c>
      <x:c r="N44" s="44" t="str">
        <x:v>12D</x:v>
      </x:c>
    </x:row>
    <x:row r="45">
      <x:c r="A45" s="4" t="s">
        <x:v>79</x:v>
      </x:c>
      <x:c r="B45" s="5" t="s">
        <x:v>120</x:v>
      </x:c>
      <x:c r="C45" s="8" t="s">
        <x:v>121</x:v>
      </x:c>
      <x:c r="D45" s="8" t="s">
        <x:v>122</x:v>
      </x:c>
      <x:c r="E45" s="5" t="s">
        <x:v>17</x:v>
      </x:c>
      <x:c r="F45" s="5"/>
      <x:c r="G45" s="5"/>
      <x:c r="H45" s="5" t="s">
        <x:v>35</x:v>
      </x:c>
      <x:c r="I45" s="5" t="s">
        <x:v>28</x:v>
      </x:c>
      <x:c r="K45" s="29"/>
      <x:c r="L45" s="11"/>
      <x:c r="M45" s="43" t="n">
        <x:v>14</x:v>
      </x:c>
      <x:c r="N45" s="44" t="str">
        <x:v>13B</x:v>
      </x:c>
    </x:row>
    <x:row r="46">
      <x:c r="A46" s="4" t="s">
        <x:v>79</x:v>
      </x:c>
      <x:c r="B46" s="5" t="s">
        <x:v>123</x:v>
      </x:c>
      <x:c r="C46" s="8" t="s">
        <x:v>124</x:v>
      </x:c>
      <x:c r="D46" s="8" t="s">
        <x:v>81</x:v>
      </x:c>
      <x:c r="E46" s="5" t="s">
        <x:v>17</x:v>
      </x:c>
      <x:c r="F46" s="5"/>
      <x:c r="G46" s="5"/>
      <x:c r="H46" s="5" t="s">
        <x:v>46</x:v>
      </x:c>
      <x:c r="I46" s="5" t="s">
        <x:v>19</x:v>
      </x:c>
      <x:c r="J46" s="5" t="s">
        <x:v>20</x:v>
      </x:c>
      <x:c r="K46" s="29"/>
      <x:c r="L46" s="11"/>
      <x:c r="M46" s="43" t="n">
        <x:v>14</x:v>
      </x:c>
      <x:c r="N46" s="44" t="str">
        <x:v>16F</x:v>
      </x:c>
    </x:row>
    <x:row r="47">
      <x:c r="A47" s="4" t="s">
        <x:v>82</x:v>
      </x:c>
      <x:c r="B47" s="5" t="s">
        <x:v>125</x:v>
      </x:c>
      <x:c r="C47" s="8" t="s">
        <x:v>126</x:v>
      </x:c>
      <x:c r="D47" s="8" t="s">
        <x:v>122</x:v>
      </x:c>
      <x:c r="E47" s="5" t="s">
        <x:v>27</x:v>
      </x:c>
      <x:c r="F47" s="5"/>
      <x:c r="G47" s="5"/>
      <x:c r="H47" s="5" t="s">
        <x:v>60</x:v>
      </x:c>
      <x:c r="I47" s="26" t="s">
        <x:v>60</x:v>
      </x:c>
      <x:c r="J47" s="5" t="s">
        <x:v>61</x:v>
      </x:c>
      <x:c r="K47" s="29"/>
      <x:c r="L47" s="11"/>
      <x:c r="M47" s="43" t="n">
        <x:v>14</x:v>
      </x:c>
      <x:c r="N47" s="44" t="str">
        <x:v>13C</x:v>
      </x:c>
    </x:row>
    <x:row r="48">
      <x:c r="A48" s="4" t="s">
        <x:v>82</x:v>
      </x:c>
      <x:c r="B48" s="5" t="s">
        <x:v>127</x:v>
      </x:c>
      <x:c r="C48" s="8" t="s">
        <x:v>128</x:v>
      </x:c>
      <x:c r="D48" s="8" t="s">
        <x:v>81</x:v>
      </x:c>
      <x:c r="E48" s="5" t="s">
        <x:v>27</x:v>
      </x:c>
      <x:c r="F48" s="5"/>
      <x:c r="G48" s="5"/>
      <x:c r="H48" s="5" t="s">
        <x:v>46</x:v>
      </x:c>
      <x:c r="I48" s="5" t="s">
        <x:v>35</x:v>
      </x:c>
      <x:c r="J48" s="5" t="s">
        <x:v>36</x:v>
      </x:c>
      <x:c r="K48" s="29"/>
      <x:c r="L48" s="11"/>
      <x:c r="M48" s="43" t="n">
        <x:v>14</x:v>
      </x:c>
      <x:c r="N48" s="44" t="str">
        <x:v>15B</x:v>
      </x:c>
    </x:row>
    <x:row r="49">
      <x:c r="A49" s="4" t="s">
        <x:v>84</x:v>
      </x:c>
      <x:c r="B49" s="5" t="s">
        <x:v>129</x:v>
      </x:c>
      <x:c r="C49" s="8" t="s">
        <x:v>130</x:v>
      </x:c>
      <x:c r="D49" s="8" t="s">
        <x:v>122</x:v>
      </x:c>
      <x:c r="E49" s="5" t="s">
        <x:v>27</x:v>
      </x:c>
      <x:c r="F49" s="5"/>
      <x:c r="G49" s="5"/>
      <x:c r="H49" s="5" t="s">
        <x:v>60</x:v>
      </x:c>
      <x:c r="I49" s="26" t="s">
        <x:v>46</x:v>
      </x:c>
      <x:c r="J49" s="5" t="s">
        <x:v>47</x:v>
      </x:c>
      <x:c r="K49" s="29"/>
      <x:c r="L49" s="11"/>
      <x:c r="M49" s="43" t="n">
        <x:v>14</x:v>
      </x:c>
      <x:c r="N49" s="44" t="str">
        <x:v>13D</x:v>
      </x:c>
    </x:row>
    <x:row r="50">
      <x:c r="A50" s="4" t="s">
        <x:v>84</x:v>
      </x:c>
      <x:c r="B50" s="5" t="s">
        <x:v>131</x:v>
      </x:c>
      <x:c r="C50" s="8" t="s">
        <x:v>132</x:v>
      </x:c>
      <x:c r="D50" s="8" t="s">
        <x:v>81</x:v>
      </x:c>
      <x:c r="E50" s="5" t="s">
        <x:v>27</x:v>
      </x:c>
      <x:c r="F50" s="5"/>
      <x:c r="G50" s="5"/>
      <x:c r="H50" s="5" t="s">
        <x:v>60</x:v>
      </x:c>
      <x:c r="I50" s="5" t="s">
        <x:v>39</x:v>
      </x:c>
      <x:c r="J50" s="5" t="s">
        <x:v>40</x:v>
      </x:c>
      <x:c r="K50" s="29"/>
      <x:c r="L50" s="11"/>
      <x:c r="M50" s="43" t="n">
        <x:v>14</x:v>
      </x:c>
      <x:c r="N50" s="44" t="str">
        <x:v>16D</x:v>
      </x:c>
    </x:row>
    <x:row r="51">
      <x:c r="A51" s="4" t="s">
        <x:v>86</x:v>
      </x:c>
      <x:c r="B51" s="5" t="s">
        <x:v>133</x:v>
      </x:c>
      <x:c r="C51" s="8" t="s">
        <x:v>134</x:v>
      </x:c>
      <x:c r="D51" s="8" t="s">
        <x:v>135</x:v>
      </x:c>
      <x:c r="E51" s="5" t="s">
        <x:v>27</x:v>
      </x:c>
      <x:c r="F51" s="5"/>
      <x:c r="G51" s="5"/>
      <x:c r="H51" s="5" t="s">
        <x:v>35</x:v>
      </x:c>
      <x:c r="I51" s="26" t="s">
        <x:v>39</x:v>
      </x:c>
      <x:c r="J51" s="5" t="s">
        <x:v>40</x:v>
      </x:c>
      <x:c r="K51" s="29"/>
      <x:c r="L51" s="11"/>
      <x:c r="M51" s="43" t="n">
        <x:v>14</x:v>
      </x:c>
      <x:c r="N51" s="44" t="str">
        <x:v>07F</x:v>
      </x:c>
    </x:row>
    <x:row r="52">
      <x:c r="A52" s="4" t="s">
        <x:v>86</x:v>
      </x:c>
      <x:c r="B52" s="5" t="s">
        <x:v>136</x:v>
      </x:c>
      <x:c r="C52" s="8" t="s">
        <x:v>137</x:v>
      </x:c>
      <x:c r="D52" s="8" t="s">
        <x:v>135</x:v>
      </x:c>
      <x:c r="E52" s="5" t="s">
        <x:v>27</x:v>
      </x:c>
      <x:c r="F52" s="5"/>
      <x:c r="G52" s="5"/>
      <x:c r="H52" s="5" t="s">
        <x:v>35</x:v>
      </x:c>
      <x:c r="I52" s="5" t="s">
        <x:v>18</x:v>
      </x:c>
      <x:c r="J52" s="5" t="s">
        <x:v>43</x:v>
      </x:c>
      <x:c r="K52" s="29"/>
      <x:c r="L52" s="11"/>
      <x:c r="M52" s="43" t="n">
        <x:v>14</x:v>
      </x:c>
      <x:c r="N52" s="44" t="str">
        <x:v>08A</x:v>
      </x:c>
    </x:row>
    <x:row r="53">
      <x:c r="A53" s="4" t="s">
        <x:v>88</x:v>
      </x:c>
      <x:c r="B53" s="5" t="s">
        <x:v>138</x:v>
      </x:c>
      <x:c r="C53" s="8" t="s">
        <x:v>139</x:v>
      </x:c>
      <x:c r="D53" s="8" t="s">
        <x:v>135</x:v>
      </x:c>
      <x:c r="E53" s="5" t="s">
        <x:v>27</x:v>
      </x:c>
      <x:c r="F53" s="5"/>
      <x:c r="G53" s="5"/>
      <x:c r="H53" s="5" t="s">
        <x:v>35</x:v>
      </x:c>
      <x:c r="I53" s="26" t="s">
        <x:v>23</x:v>
      </x:c>
      <x:c r="J53" s="5" t="s">
        <x:v>24</x:v>
      </x:c>
      <x:c r="K53" s="29"/>
      <x:c r="L53" s="11"/>
      <x:c r="M53" s="43" t="n">
        <x:v>14</x:v>
      </x:c>
      <x:c r="N53" s="44" t="str">
        <x:v>08D</x:v>
      </x:c>
    </x:row>
    <x:row r="54">
      <x:c r="A54" s="4" t="s">
        <x:v>88</x:v>
      </x:c>
      <x:c r="B54" s="5" t="s">
        <x:v>140</x:v>
      </x:c>
      <x:c r="C54" s="8" t="s">
        <x:v>141</x:v>
      </x:c>
      <x:c r="D54" s="8" t="s">
        <x:v>135</x:v>
      </x:c>
      <x:c r="E54" s="5" t="s">
        <x:v>27</x:v>
      </x:c>
      <x:c r="F54" s="5"/>
      <x:c r="G54" s="5"/>
      <x:c r="H54" s="5" t="s">
        <x:v>35</x:v>
      </x:c>
      <x:c r="I54" s="5" t="s">
        <x:v>19</x:v>
      </x:c>
      <x:c r="J54" s="5" t="s">
        <x:v>20</x:v>
      </x:c>
      <x:c r="K54" s="29"/>
      <x:c r="L54" s="11"/>
      <x:c r="M54" s="43" t="n">
        <x:v>14</x:v>
      </x:c>
      <x:c r="N54" s="44" t="str">
        <x:v>08F</x:v>
      </x:c>
    </x:row>
    <x:row r="55">
      <x:c r="A55" s="4" t="s">
        <x:v>90</x:v>
      </x:c>
      <x:c r="B55" s="5" t="s">
        <x:v>142</x:v>
      </x:c>
      <x:c r="C55" s="8" t="s">
        <x:v>143</x:v>
      </x:c>
      <x:c r="D55" s="8" t="s">
        <x:v>81</x:v>
      </x:c>
      <x:c r="E55" s="5" t="s">
        <x:v>27</x:v>
      </x:c>
      <x:c r="F55" s="5"/>
      <x:c r="G55" s="5"/>
      <x:c r="H55" s="5" t="s">
        <x:v>60</x:v>
      </x:c>
      <x:c r="I55" s="26" t="s">
        <x:v>31</x:v>
      </x:c>
      <x:c r="J55" s="5" t="s">
        <x:v>32</x:v>
      </x:c>
      <x:c r="K55" s="28" t="s">
        <x:v>12</x:v>
      </x:c>
      <x:c r="L55" s="11"/>
      <x:c r="M55" s="43" t="n">
        <x:v>14</x:v>
      </x:c>
      <x:c r="N55" s="44" t="str">
        <x:v>15F</x:v>
      </x:c>
    </x:row>
    <x:row r="56">
      <x:c r="A56" s="4" t="s">
        <x:v>90</x:v>
      </x:c>
      <x:c r="B56" s="5" t="s">
        <x:v>144</x:v>
      </x:c>
      <x:c r="C56" s="8" t="s">
        <x:v>145</x:v>
      </x:c>
      <x:c r="D56" s="8" t="s">
        <x:v>81</x:v>
      </x:c>
      <x:c r="E56" s="5" t="s">
        <x:v>27</x:v>
      </x:c>
      <x:c r="F56" s="5"/>
      <x:c r="G56" s="5"/>
      <x:c r="H56" s="5" t="s">
        <x:v>60</x:v>
      </x:c>
      <x:c r="I56" s="5" t="s">
        <x:v>39</x:v>
      </x:c>
      <x:c r="J56" s="5" t="s">
        <x:v>40</x:v>
      </x:c>
      <x:c r="K56" s="29"/>
      <x:c r="L56" s="11"/>
      <x:c r="M56" s="43" t="n">
        <x:v>14</x:v>
      </x:c>
      <x:c r="N56" s="44" t="str">
        <x:v>03C</x:v>
      </x:c>
    </x:row>
    <x:row r="57">
      <x:c r="A57" s="4" t="s">
        <x:v>92</x:v>
      </x:c>
      <x:c r="B57" s="5" t="s">
        <x:v>146</x:v>
      </x:c>
      <x:c r="C57" s="8" t="s">
        <x:v>147</x:v>
      </x:c>
      <x:c r="D57" s="8" t="s">
        <x:v>81</x:v>
      </x:c>
      <x:c r="E57" s="5" t="s">
        <x:v>27</x:v>
      </x:c>
      <x:c r="F57" s="5"/>
      <x:c r="G57" s="5"/>
      <x:c r="H57" s="5" t="s">
        <x:v>72</x:v>
      </x:c>
      <x:c r="I57" s="26" t="s">
        <x:v>23</x:v>
      </x:c>
      <x:c r="J57" s="5" t="s">
        <x:v>24</x:v>
      </x:c>
      <x:c r="K57" s="29"/>
      <x:c r="L57" s="11"/>
      <x:c r="M57" s="43" t="n">
        <x:v>14</x:v>
      </x:c>
      <x:c r="N57" s="44" t="str">
        <x:v>13F</x:v>
      </x:c>
    </x:row>
    <x:row r="58">
      <x:c r="A58" s="4" t="s">
        <x:v>92</x:v>
      </x:c>
      <x:c r="B58" s="5" t="s">
        <x:v>148</x:v>
      </x:c>
      <x:c r="C58" s="8" t="s">
        <x:v>149</x:v>
      </x:c>
      <x:c r="D58" s="8" t="s">
        <x:v>81</x:v>
      </x:c>
      <x:c r="E58" s="5" t="s">
        <x:v>27</x:v>
      </x:c>
      <x:c r="F58" s="5"/>
      <x:c r="G58" s="5"/>
      <x:c r="H58" s="5" t="s">
        <x:v>46</x:v>
      </x:c>
      <x:c r="I58" s="5" t="s">
        <x:v>60</x:v>
      </x:c>
      <x:c r="J58" s="5" t="s">
        <x:v>61</x:v>
      </x:c>
      <x:c r="K58" s="29"/>
      <x:c r="L58" s="11"/>
      <x:c r="M58" s="43" t="n">
        <x:v>14</x:v>
      </x:c>
      <x:c r="N58" s="44" t="str">
        <x:v>16A</x:v>
      </x:c>
    </x:row>
    <x:row r="59">
      <x:c r="A59" s="4" t="s">
        <x:v>94</x:v>
      </x:c>
      <x:c r="B59" s="5" t="s">
        <x:v>150</x:v>
      </x:c>
      <x:c r="C59" s="8" t="s">
        <x:v>151</x:v>
      </x:c>
      <x:c r="D59" s="8" t="s">
        <x:v>81</x:v>
      </x:c>
      <x:c r="E59" s="5" t="s">
        <x:v>27</x:v>
      </x:c>
      <x:c r="F59" s="5"/>
      <x:c r="G59" s="5"/>
      <x:c r="H59" s="5" t="s">
        <x:v>72</x:v>
      </x:c>
      <x:c r="I59" s="26" t="s">
        <x:v>18</x:v>
      </x:c>
      <x:c r="J59" s="5" t="s">
        <x:v>43</x:v>
      </x:c>
      <x:c r="K59" s="29"/>
      <x:c r="L59" s="11"/>
      <x:c r="M59" s="43" t="n">
        <x:v>14</x:v>
      </x:c>
      <x:c r="N59" s="44" t="str">
        <x:v>15A</x:v>
      </x:c>
    </x:row>
    <x:row r="60">
      <x:c r="A60" s="4" t="s">
        <x:v>94</x:v>
      </x:c>
      <x:c r="B60" s="5" t="s">
        <x:v>152</x:v>
      </x:c>
      <x:c r="C60" s="8" t="s">
        <x:v>153</x:v>
      </x:c>
      <x:c r="D60" s="8" t="s">
        <x:v>81</x:v>
      </x:c>
      <x:c r="E60" s="5" t="s">
        <x:v>27</x:v>
      </x:c>
      <x:c r="F60" s="5"/>
      <x:c r="G60" s="5"/>
      <x:c r="H60" s="5" t="s">
        <x:v>72</x:v>
      </x:c>
      <x:c r="I60" s="5" t="s">
        <x:v>46</x:v>
      </x:c>
      <x:c r="J60" s="5" t="s">
        <x:v>47</x:v>
      </x:c>
      <x:c r="K60" s="29"/>
      <x:c r="L60" s="11"/>
      <x:c r="M60" s="43" t="n">
        <x:v>14</x:v>
      </x:c>
      <x:c r="N60" s="44" t="str">
        <x:v>16B</x:v>
      </x:c>
    </x:row>
    <x:row r="61">
      <x:c r="A61" s="4" t="s">
        <x:v>96</x:v>
      </x:c>
      <x:c r="B61" s="5" t="s">
        <x:v>154</x:v>
      </x:c>
      <x:c r="C61" s="8" t="s">
        <x:v>155</x:v>
      </x:c>
      <x:c r="D61" s="8" t="s">
        <x:v>81</x:v>
      </x:c>
      <x:c r="E61" s="5" t="s">
        <x:v>27</x:v>
      </x:c>
      <x:c r="F61" s="5"/>
      <x:c r="G61" s="5"/>
      <x:c r="H61" s="5" t="s">
        <x:v>46</x:v>
      </x:c>
      <x:c r="I61" s="26" t="s">
        <x:v>72</x:v>
      </x:c>
      <x:c r="J61" s="5" t="s">
        <x:v>73</x:v>
      </x:c>
      <x:c r="K61" s="29"/>
      <x:c r="L61" s="11"/>
      <x:c r="M61" s="43" t="n">
        <x:v>14</x:v>
      </x:c>
      <x:c r="N61" s="44" t="str">
        <x:v>16C</x:v>
      </x:c>
    </x:row>
    <x:row r="62">
      <x:c r="A62" s="4" t="s">
        <x:v>96</x:v>
      </x:c>
      <x:c r="B62" s="5" t="s">
        <x:v>156</x:v>
      </x:c>
      <x:c r="C62" s="8" t="s">
        <x:v>157</x:v>
      </x:c>
      <x:c r="D62" s="8" t="s">
        <x:v>81</x:v>
      </x:c>
      <x:c r="E62" s="5" t="s">
        <x:v>27</x:v>
      </x:c>
      <x:c r="F62" s="5"/>
      <x:c r="G62" s="5"/>
      <x:c r="H62" s="5" t="s">
        <x:v>46</x:v>
      </x:c>
      <x:c r="I62" s="5" t="s">
        <x:v>18</x:v>
      </x:c>
      <x:c r="J62" s="5" t="s">
        <x:v>43</x:v>
      </x:c>
      <x:c r="K62" s="29"/>
      <x:c r="L62" s="11"/>
      <x:c r="M62" s="43" t="n">
        <x:v>14</x:v>
      </x:c>
      <x:c r="N62" s="44" t="str">
        <x:v>03F</x:v>
      </x:c>
    </x:row>
    <x:row r="63">
      <x:c r="A63" s="4" t="s">
        <x:v>98</x:v>
      </x:c>
      <x:c r="B63" s="5" t="s">
        <x:v>158</x:v>
      </x:c>
      <x:c r="C63" s="8" t="s">
        <x:v>159</x:v>
      </x:c>
      <x:c r="D63" s="8" t="s">
        <x:v>81</x:v>
      </x:c>
      <x:c r="E63" s="5" t="s">
        <x:v>27</x:v>
      </x:c>
      <x:c r="F63" s="5"/>
      <x:c r="G63" s="5"/>
      <x:c r="H63" s="5" t="s">
        <x:v>72</x:v>
      </x:c>
      <x:c r="I63" s="26" t="s">
        <x:v>60</x:v>
      </x:c>
      <x:c r="J63" s="5" t="s">
        <x:v>61</x:v>
      </x:c>
      <x:c r="K63" s="28" t="s">
        <x:v>12</x:v>
      </x:c>
      <x:c r="L63" s="11"/>
      <x:c r="M63" s="43" t="n">
        <x:v>14</x:v>
      </x:c>
      <x:c r="N63" s="44" t="str">
        <x:v>14B</x:v>
      </x:c>
    </x:row>
    <x:row r="64">
      <x:c r="A64" s="4" t="s">
        <x:v>98</x:v>
      </x:c>
      <x:c r="B64" s="5" t="s">
        <x:v>160</x:v>
      </x:c>
      <x:c r="C64" s="8" t="s">
        <x:v>161</x:v>
      </x:c>
      <x:c r="D64" s="8" t="s">
        <x:v>81</x:v>
      </x:c>
      <x:c r="E64" s="5" t="s">
        <x:v>27</x:v>
      </x:c>
      <x:c r="F64" s="5"/>
      <x:c r="G64" s="5"/>
      <x:c r="H64" s="5" t="s">
        <x:v>46</x:v>
      </x:c>
      <x:c r="I64" s="5" t="s">
        <x:v>60</x:v>
      </x:c>
      <x:c r="J64" s="5" t="s">
        <x:v>61</x:v>
      </x:c>
      <x:c r="K64" s="29"/>
      <x:c r="L64" s="11"/>
      <x:c r="M64" s="43" t="n">
        <x:v>14</x:v>
      </x:c>
      <x:c r="N64" s="44" t="str">
        <x:v>15D</x:v>
      </x:c>
    </x:row>
    <x:row r="65">
      <x:c r="A65" s="4" t="s">
        <x:v>100</x:v>
      </x:c>
      <x:c r="B65" s="5" t="s">
        <x:v>162</x:v>
      </x:c>
      <x:c r="C65" s="8" t="s">
        <x:v>163</x:v>
      </x:c>
      <x:c r="D65" s="8" t="s">
        <x:v>81</x:v>
      </x:c>
      <x:c r="E65" s="5" t="s">
        <x:v>17</x:v>
      </x:c>
      <x:c r="F65" s="5"/>
      <x:c r="G65" s="5"/>
      <x:c r="H65" s="5" t="s">
        <x:v>35</x:v>
      </x:c>
      <x:c r="I65" s="26" t="s">
        <x:v>19</x:v>
      </x:c>
      <x:c r="J65" s="5" t="s">
        <x:v>20</x:v>
      </x:c>
      <x:c r="K65" s="29"/>
      <x:c r="L65" s="11"/>
      <x:c r="M65" s="43" t="n">
        <x:v>14</x:v>
      </x:c>
      <x:c r="N65" s="44" t="str">
        <x:v>03D</x:v>
      </x:c>
    </x:row>
    <x:row r="66">
      <x:c r="A66" s="4" t="s">
        <x:v>100</x:v>
      </x:c>
      <x:c r="B66" s="5" t="s">
        <x:v>164</x:v>
      </x:c>
      <x:c r="C66" s="8" t="s">
        <x:v>165</x:v>
      </x:c>
      <x:c r="D66" s="8" t="s">
        <x:v>81</x:v>
      </x:c>
      <x:c r="E66" s="5" t="s">
        <x:v>17</x:v>
      </x:c>
      <x:c r="F66" s="5"/>
      <x:c r="G66" s="5"/>
      <x:c r="H66" s="5" t="s">
        <x:v>35</x:v>
      </x:c>
      <x:c r="I66" s="5" t="s">
        <x:v>72</x:v>
      </x:c>
      <x:c r="J66" s="5" t="s">
        <x:v>73</x:v>
      </x:c>
      <x:c r="K66" s="29"/>
      <x:c r="L66" s="11"/>
      <x:c r="M66" s="43" t="n">
        <x:v>14</x:v>
      </x:c>
      <x:c r="N66" s="44" t="str">
        <x:v>15C</x:v>
      </x:c>
    </x:row>
    <x:row r="67">
      <x:c r="A67" s="4" t="s">
        <x:v>102</x:v>
      </x:c>
      <x:c r="B67" s="5" t="s">
        <x:v>166</x:v>
      </x:c>
      <x:c r="C67" s="8" t="s">
        <x:v>167</x:v>
      </x:c>
      <x:c r="D67" s="8" t="s">
        <x:v>81</x:v>
      </x:c>
      <x:c r="E67" s="5" t="s">
        <x:v>17</x:v>
      </x:c>
      <x:c r="F67" s="5"/>
      <x:c r="G67" s="5"/>
      <x:c r="H67" s="5" t="s">
        <x:v>72</x:v>
      </x:c>
      <x:c r="I67" s="26" t="s">
        <x:v>31</x:v>
      </x:c>
      <x:c r="J67" s="5" t="s">
        <x:v>32</x:v>
      </x:c>
      <x:c r="K67" s="29"/>
      <x:c r="L67" s="11"/>
      <x:c r="M67" s="43" t="n">
        <x:v>14</x:v>
      </x:c>
      <x:c r="N67" s="44" t="str">
        <x:v>14C</x:v>
      </x:c>
    </x:row>
    <x:row r="68">
      <x:c r="A68" s="4" t="s">
        <x:v>102</x:v>
      </x:c>
      <x:c r="B68" s="5" t="s">
        <x:v>168</x:v>
      </x:c>
      <x:c r="C68" s="8" t="s">
        <x:v>169</x:v>
      </x:c>
      <x:c r="D68" s="8" t="s">
        <x:v>81</x:v>
      </x:c>
      <x:c r="E68" s="5" t="s">
        <x:v>17</x:v>
      </x:c>
      <x:c r="F68" s="5"/>
      <x:c r="G68" s="5"/>
      <x:c r="H68" s="5" t="s">
        <x:v>72</x:v>
      </x:c>
      <x:c r="I68" s="5" t="s">
        <x:v>35</x:v>
      </x:c>
      <x:c r="J68" s="5" t="s">
        <x:v>36</x:v>
      </x:c>
      <x:c r="K68" s="29"/>
      <x:c r="L68" s="11"/>
      <x:c r="M68" s="43" t="n">
        <x:v>14</x:v>
      </x:c>
      <x:c r="N68" s="44" t="str">
        <x:v>17B</x:v>
      </x:c>
    </x:row>
    <x:row r="69">
      <x:c r="A69" s="4" t="s">
        <x:v>104</x:v>
      </x:c>
      <x:c r="B69" s="5" t="s">
        <x:v>170</x:v>
      </x:c>
      <x:c r="C69" s="8" t="s">
        <x:v>171</x:v>
      </x:c>
      <x:c r="D69" s="8" t="s">
        <x:v>172</x:v>
      </x:c>
      <x:c r="E69" s="5" t="s">
        <x:v>17</x:v>
      </x:c>
      <x:c r="F69" s="5"/>
      <x:c r="G69" s="5"/>
      <x:c r="H69" s="5" t="s">
        <x:v>46</x:v>
      </x:c>
      <x:c r="I69" s="26" t="s">
        <x:v>23</x:v>
      </x:c>
      <x:c r="J69" s="5" t="s">
        <x:v>24</x:v>
      </x:c>
      <x:c r="K69" s="28" t="s">
        <x:v>12</x:v>
      </x:c>
      <x:c r="L69" s="11"/>
      <x:c r="M69" s="43" t="n">
        <x:v>14</x:v>
      </x:c>
      <x:c r="N69" s="44" t="str">
        <x:v>14F</x:v>
      </x:c>
    </x:row>
    <x:row r="70">
      <x:c r="A70" s="4" t="s">
        <x:v>104</x:v>
      </x:c>
      <x:c r="B70" s="5" t="s">
        <x:v>173</x:v>
      </x:c>
      <x:c r="C70" s="8" t="s">
        <x:v>174</x:v>
      </x:c>
      <x:c r="D70" s="8" t="s">
        <x:v>172</x:v>
      </x:c>
      <x:c r="E70" s="5" t="s">
        <x:v>17</x:v>
      </x:c>
      <x:c r="F70" s="5"/>
      <x:c r="G70" s="5"/>
      <x:c r="H70" s="5" t="s">
        <x:v>46</x:v>
      </x:c>
      <x:c r="I70" s="5" t="s">
        <x:v>72</x:v>
      </x:c>
      <x:c r="J70" s="5" t="s">
        <x:v>73</x:v>
      </x:c>
      <x:c r="K70" s="28"/>
      <x:c r="L70" s="11"/>
      <x:c r="M70" s="43" t="n">
        <x:v>14</x:v>
      </x:c>
      <x:c r="N70" s="44" t="str">
        <x:v>17A</x:v>
      </x:c>
    </x:row>
    <x:row r="71" ht="19">
      <x:c r="A71" s="4" t="s">
        <x:v>106</x:v>
      </x:c>
      <x:c r="B71" s="5" t="s">
        <x:v>175</x:v>
      </x:c>
      <x:c r="C71" s="8" t="s">
        <x:v>176</x:v>
      </x:c>
      <x:c r="D71" s="8" t="s">
        <x:v>177</x:v>
      </x:c>
      <x:c r="E71" s="5" t="s">
        <x:v>27</x:v>
      </x:c>
      <x:c r="F71" s="5"/>
      <x:c r="G71" s="5"/>
      <x:c r="H71" s="5" t="s">
        <x:v>31</x:v>
      </x:c>
      <x:c r="I71" s="26" t="s">
        <x:v>39</x:v>
      </x:c>
      <x:c r="J71" s="5" t="s">
        <x:v>40</x:v>
      </x:c>
      <x:c r="K71" s="31" t="s">
        <x:v>12</x:v>
      </x:c>
      <x:c r="L71" s="11"/>
      <x:c r="M71" s="43" t="n">
        <x:v>14</x:v>
      </x:c>
      <x:c r="N71" s="44" t="str">
        <x:v>18C</x:v>
      </x:c>
    </x:row>
    <x:row r="72">
      <x:c r="A72" s="4" t="s">
        <x:v>106</x:v>
      </x:c>
      <x:c r="B72" s="5" t="s">
        <x:v>178</x:v>
      </x:c>
      <x:c r="C72" s="8" t="s">
        <x:v>179</x:v>
      </x:c>
      <x:c r="D72" s="8" t="s">
        <x:v>180</x:v>
      </x:c>
      <x:c r="E72" s="5" t="s">
        <x:v>27</x:v>
      </x:c>
      <x:c r="F72" s="5"/>
      <x:c r="G72" s="5"/>
      <x:c r="H72" s="5" t="s">
        <x:v>31</x:v>
      </x:c>
      <x:c r="I72" s="5" t="s">
        <x:v>72</x:v>
      </x:c>
      <x:c r="J72" s="5" t="s">
        <x:v>73</x:v>
      </x:c>
      <x:c r="K72" s="29"/>
      <x:c r="L72" s="11"/>
      <x:c r="M72" s="43" t="n">
        <x:v>8</x:v>
      </x:c>
      <x:c r="N72" s="44" t="str">
        <x:v>02B</x:v>
      </x:c>
    </x:row>
    <x:row r="73">
      <x:c r="A73" s="4" t="s">
        <x:v>108</x:v>
      </x:c>
      <x:c r="B73" s="5" t="s">
        <x:v>181</x:v>
      </x:c>
      <x:c r="C73" s="8" t="s">
        <x:v>182</x:v>
      </x:c>
      <x:c r="D73" s="8" t="s">
        <x:v>183</x:v>
      </x:c>
      <x:c r="E73" s="5" t="s">
        <x:v>17</x:v>
      </x:c>
      <x:c r="F73" s="5"/>
      <x:c r="G73" s="5"/>
      <x:c r="H73" s="5" t="s">
        <x:v>31</x:v>
      </x:c>
      <x:c r="I73" s="26" t="s">
        <x:v>18</x:v>
      </x:c>
      <x:c r="J73" s="5" t="s">
        <x:v>43</x:v>
      </x:c>
      <x:c r="K73" s="29"/>
      <x:c r="L73" s="11"/>
      <x:c r="M73" s="43" t="n">
        <x:v>8</x:v>
      </x:c>
      <x:c r="N73" s="44" t="str">
        <x:v>02A</x:v>
      </x:c>
    </x:row>
    <x:row r="74">
      <x:c r="A74" s="4" t="s">
        <x:v>108</x:v>
      </x:c>
      <x:c r="B74" s="5" t="s">
        <x:v>184</x:v>
      </x:c>
      <x:c r="C74" s="8" t="s">
        <x:v>185</x:v>
      </x:c>
      <x:c r="D74" s="8" t="s">
        <x:v>183</x:v>
      </x:c>
      <x:c r="E74" s="5" t="s">
        <x:v>17</x:v>
      </x:c>
      <x:c r="F74" s="5"/>
      <x:c r="G74" s="5"/>
      <x:c r="H74" s="5" t="s">
        <x:v>31</x:v>
      </x:c>
      <x:c r="I74" s="5" t="s">
        <x:v>35</x:v>
      </x:c>
      <x:c r="J74" s="5" t="s">
        <x:v>36</x:v>
      </x:c>
      <x:c r="K74" s="29"/>
      <x:c r="L74" s="11"/>
      <x:c r="M74" s="43" t="n">
        <x:v>14</x:v>
      </x:c>
      <x:c r="N74" s="44" t="str">
        <x:v>18A</x:v>
      </x:c>
    </x:row>
    <x:row r="75">
      <x:c r="A75" s="4" t="s">
        <x:v>110</x:v>
      </x:c>
      <x:c r="B75" s="5" t="s">
        <x:v>186</x:v>
      </x:c>
      <x:c r="C75" s="8" t="s">
        <x:v>187</x:v>
      </x:c>
      <x:c r="D75" s="8" t="s">
        <x:v>183</x:v>
      </x:c>
      <x:c r="E75" s="5" t="s">
        <x:v>17</x:v>
      </x:c>
      <x:c r="F75" s="5"/>
      <x:c r="G75" s="5"/>
      <x:c r="H75" s="5" t="s">
        <x:v>31</x:v>
      </x:c>
      <x:c r="I75" s="26" t="s">
        <x:v>19</x:v>
      </x:c>
      <x:c r="J75" s="5" t="s">
        <x:v>20</x:v>
      </x:c>
      <x:c r="K75" s="29"/>
      <x:c r="L75" s="11"/>
      <x:c r="M75" s="43" t="n">
        <x:v>14</x:v>
      </x:c>
      <x:c r="N75" s="44" t="str">
        <x:v>17F</x:v>
      </x:c>
    </x:row>
    <x:row r="76">
      <x:c r="A76" s="4" t="s">
        <x:v>110</x:v>
      </x:c>
      <x:c r="B76" s="5" t="s">
        <x:v>188</x:v>
      </x:c>
      <x:c r="C76" s="8" t="s">
        <x:v>189</x:v>
      </x:c>
      <x:c r="D76" s="8" t="s">
        <x:v>183</x:v>
      </x:c>
      <x:c r="E76" s="5" t="s">
        <x:v>17</x:v>
      </x:c>
      <x:c r="F76" s="5"/>
      <x:c r="G76" s="5"/>
      <x:c r="H76" s="5" t="s">
        <x:v>31</x:v>
      </x:c>
      <x:c r="I76" s="5" t="s">
        <x:v>23</x:v>
      </x:c>
      <x:c r="J76" s="5" t="s">
        <x:v>24</x:v>
      </x:c>
      <x:c r="K76" s="29"/>
      <x:c r="L76" s="11"/>
      <x:c r="M76" s="43" t="n">
        <x:v>14</x:v>
      </x:c>
      <x:c r="N76" s="44" t="str">
        <x:v>18B</x:v>
      </x:c>
    </x:row>
    <x:row r="77">
      <x:c r="A77" s="4" t="s">
        <x:v>112</x:v>
      </x:c>
      <x:c r="B77" s="5" t="s">
        <x:v>190</x:v>
      </x:c>
      <x:c r="C77" s="8" t="s">
        <x:v>191</x:v>
      </x:c>
      <x:c r="D77" s="8" t="s">
        <x:v>183</x:v>
      </x:c>
      <x:c r="E77" s="5" t="s">
        <x:v>27</x:v>
      </x:c>
      <x:c r="F77" s="5"/>
      <x:c r="G77" s="5"/>
      <x:c r="H77" s="5" t="s">
        <x:v>31</x:v>
      </x:c>
      <x:c r="I77" s="26" t="s">
        <x:v>72</x:v>
      </x:c>
      <x:c r="J77" s="5" t="s">
        <x:v>73</x:v>
      </x:c>
      <x:c r="K77" s="29"/>
      <x:c r="L77" s="11"/>
      <x:c r="M77" s="43" t="n">
        <x:v>14</x:v>
      </x:c>
      <x:c r="N77" s="44" t="str">
        <x:v>17C</x:v>
      </x:c>
    </x:row>
    <x:row r="78">
      <x:c r="A78" s="4" t="s">
        <x:v>112</x:v>
      </x:c>
      <x:c r="B78" s="5" t="s">
        <x:v>192</x:v>
      </x:c>
      <x:c r="C78" s="8" t="s">
        <x:v>193</x:v>
      </x:c>
      <x:c r="D78" s="8" t="s">
        <x:v>183</x:v>
      </x:c>
      <x:c r="E78" s="5" t="s">
        <x:v>27</x:v>
      </x:c>
      <x:c r="F78" s="5"/>
      <x:c r="G78" s="5"/>
      <x:c r="H78" s="5" t="s">
        <x:v>31</x:v>
      </x:c>
      <x:c r="I78" s="5" t="s">
        <x:v>19</x:v>
      </x:c>
      <x:c r="J78" s="5" t="s">
        <x:v>20</x:v>
      </x:c>
      <x:c r="K78" s="29"/>
      <x:c r="L78" s="11"/>
      <x:c r="M78" s="43" t="n">
        <x:v>14</x:v>
      </x:c>
      <x:c r="N78" s="44" t="str">
        <x:v>17D</x:v>
      </x:c>
    </x:row>
    <x:row r="79">
      <x:c r="A79" s="4" t="s">
        <x:v>114</x:v>
      </x:c>
      <x:c r="B79" s="5" t="s">
        <x:v>194</x:v>
      </x:c>
      <x:c r="C79" s="8" t="s">
        <x:v>195</x:v>
      </x:c>
      <x:c r="D79" s="8" t="s">
        <x:v>196</x:v>
      </x:c>
      <x:c r="E79" s="5" t="s">
        <x:v>17</x:v>
      </x:c>
      <x:c r="F79" s="5"/>
      <x:c r="G79" s="5"/>
      <x:c r="H79" s="5" t="s">
        <x:v>60</x:v>
      </x:c>
      <x:c r="I79" s="26" t="s">
        <x:v>23</x:v>
      </x:c>
      <x:c r="J79" s="5" t="s">
        <x:v>24</x:v>
      </x:c>
      <x:c r="K79" s="29"/>
      <x:c r="L79" s="11"/>
      <x:c r="M79" s="43" t="n">
        <x:v>8</x:v>
      </x:c>
      <x:c r="N79" s="44" t="str">
        <x:v>02D</x:v>
      </x:c>
    </x:row>
    <x:row r="80">
      <x:c r="A80" s="4" t="s">
        <x:v>114</x:v>
      </x:c>
      <x:c r="B80" s="5" t="s">
        <x:v>197</x:v>
      </x:c>
      <x:c r="C80" s="8" t="s">
        <x:v>198</x:v>
      </x:c>
      <x:c r="D80" s="8" t="s">
        <x:v>196</x:v>
      </x:c>
      <x:c r="E80" s="5" t="s">
        <x:v>27</x:v>
      </x:c>
      <x:c r="F80" s="5"/>
      <x:c r="G80" s="5"/>
      <x:c r="H80" s="5" t="s">
        <x:v>60</x:v>
      </x:c>
      <x:c r="I80" s="5" t="s">
        <x:v>18</x:v>
      </x:c>
      <x:c r="J80" s="5" t="s">
        <x:v>43</x:v>
      </x:c>
      <x:c r="K80" s="29"/>
      <x:c r="L80" s="11"/>
      <x:c r="M80" s="43" t="n">
        <x:v>8</x:v>
      </x:c>
      <x:c r="N80" s="44" t="str">
        <x:v>02C</x:v>
      </x:c>
    </x:row>
    <x:row r="81">
      <x:c r="A81" s="4" t="s">
        <x:v>116</x:v>
      </x:c>
      <x:c r="B81" s="5" t="s">
        <x:v>199</x:v>
      </x:c>
      <x:c r="C81" s="8" t="s">
        <x:v>200</x:v>
      </x:c>
      <x:c r="D81" s="8" t="s">
        <x:v>201</x:v>
      </x:c>
      <x:c r="E81" s="5" t="s">
        <x:v>17</x:v>
      </x:c>
      <x:c r="F81" s="5"/>
      <x:c r="G81" s="5"/>
      <x:c r="H81" s="5" t="s">
        <x:v>60</x:v>
      </x:c>
      <x:c r="I81" s="26" t="s">
        <x:v>46</x:v>
      </x:c>
      <x:c r="J81" s="5" t="s">
        <x:v>47</x:v>
      </x:c>
      <x:c r="K81" s="29"/>
      <x:c r="L81" s="11"/>
      <x:c r="M81" s="43" t="n">
        <x:v>8</x:v>
      </x:c>
      <x:c r="N81" s="44" t="str">
        <x:v>03A</x:v>
      </x:c>
    </x:row>
    <x:row r="82">
      <x:c r="A82" s="4" t="s">
        <x:v>116</x:v>
      </x:c>
      <x:c r="B82" s="5" t="s">
        <x:v>202</x:v>
      </x:c>
      <x:c r="C82" s="8" t="s">
        <x:v>203</x:v>
      </x:c>
      <x:c r="D82" s="8" t="s">
        <x:v>201</x:v>
      </x:c>
      <x:c r="E82" s="5" t="s">
        <x:v>17</x:v>
      </x:c>
      <x:c r="F82" s="5"/>
      <x:c r="G82" s="5"/>
      <x:c r="H82" s="5" t="s">
        <x:v>60</x:v>
      </x:c>
      <x:c r="I82" s="5" t="s">
        <x:v>31</x:v>
      </x:c>
      <x:c r="J82" s="5" t="s">
        <x:v>32</x:v>
      </x:c>
      <x:c r="K82" s="29"/>
      <x:c r="L82" s="11"/>
      <x:c r="M82" s="43" t="n">
        <x:v>8</x:v>
      </x:c>
      <x:c r="N82" s="44" t="str">
        <x:v>02F</x:v>
      </x:c>
    </x:row>
    <x:row r="83">
      <x:c r="A83" s="4" t="s">
        <x:v>118</x:v>
      </x:c>
      <x:c r="B83" s="5" t="s">
        <x:v>204</x:v>
      </x:c>
      <x:c r="C83" s="8" t="s">
        <x:v>205</x:v>
      </x:c>
      <x:c r="D83" s="8" t="s">
        <x:v>206</x:v>
      </x:c>
      <x:c r="E83" s="5" t="s">
        <x:v>27</x:v>
      </x:c>
      <x:c r="F83" s="5"/>
      <x:c r="G83" s="5"/>
      <x:c r="H83" s="5" t="s">
        <x:v>23</x:v>
      </x:c>
      <x:c r="I83" s="26" t="s">
        <x:v>72</x:v>
      </x:c>
      <x:c r="J83" s="5" t="s">
        <x:v>73</x:v>
      </x:c>
      <x:c r="K83" s="29"/>
      <x:c r="L83" s="11"/>
      <x:c r="M83" s="43" t="n">
        <x:v>8</x:v>
      </x:c>
      <x:c r="N83" s="44" t="str">
        <x:v>03D</x:v>
      </x:c>
    </x:row>
    <x:row r="84">
      <x:c r="A84" s="4" t="s">
        <x:v>118</x:v>
      </x:c>
      <x:c r="B84" s="5" t="s">
        <x:v>207</x:v>
      </x:c>
      <x:c r="C84" s="8" t="s">
        <x:v>208</x:v>
      </x:c>
      <x:c r="D84" s="8" t="s">
        <x:v>206</x:v>
      </x:c>
      <x:c r="E84" s="5" t="s">
        <x:v>17</x:v>
      </x:c>
      <x:c r="F84" s="5"/>
      <x:c r="G84" s="5"/>
      <x:c r="H84" s="5" t="s">
        <x:v>23</x:v>
      </x:c>
      <x:c r="I84" s="5" t="s">
        <x:v>28</x:v>
      </x:c>
      <x:c r="K84" s="29"/>
      <x:c r="L84" s="11"/>
      <x:c r="M84" s="43" t="n">
        <x:v>8</x:v>
      </x:c>
      <x:c r="N84" s="44" t="str">
        <x:v>03C</x:v>
      </x:c>
    </x:row>
    <x:row r="85">
      <x:c r="A85" s="4" t="s">
        <x:v>120</x:v>
      </x:c>
      <x:c r="B85" s="5" t="s">
        <x:v>209</x:v>
      </x:c>
      <x:c r="C85" s="8" t="s">
        <x:v>210</x:v>
      </x:c>
      <x:c r="D85" s="8" t="s">
        <x:v>135</x:v>
      </x:c>
      <x:c r="E85" s="5" t="s">
        <x:v>17</x:v>
      </x:c>
      <x:c r="F85" s="5" t="s">
        <x:v>211</x:v>
      </x:c>
      <x:c r="G85" s="5" t="s">
        <x:v>212</x:v>
      </x:c>
      <x:c r="H85" s="5" t="s">
        <x:v>35</x:v>
      </x:c>
      <x:c r="I85" s="5" t="s">
        <x:v>28</x:v>
      </x:c>
      <x:c r="K85" s="29"/>
      <x:c r="L85" s="11"/>
      <x:c r="M85" s="43" t="n">
        <x:v>14</x:v>
      </x:c>
      <x:c r="N85" s="44" t="str">
        <x:v>08C</x:v>
      </x:c>
    </x:row>
    <x:row r="86">
      <x:c r="A86" s="4" t="s">
        <x:v>120</x:v>
      </x:c>
      <x:c r="B86" s="5" t="s">
        <x:v>213</x:v>
      </x:c>
      <x:c r="C86" s="8" t="s">
        <x:v>214</x:v>
      </x:c>
      <x:c r="D86" s="8" t="s">
        <x:v>201</x:v>
      </x:c>
      <x:c r="E86" s="5" t="s">
        <x:v>17</x:v>
      </x:c>
      <x:c r="F86" s="5"/>
      <x:c r="G86" s="5"/>
      <x:c r="H86" s="5" t="s">
        <x:v>35</x:v>
      </x:c>
      <x:c r="I86" s="5" t="s">
        <x:v>28</x:v>
      </x:c>
      <x:c r="K86" s="29"/>
      <x:c r="L86" s="11"/>
      <x:c r="M86" s="43" t="n">
        <x:v>8</x:v>
      </x:c>
      <x:c r="N86" s="44" t="str">
        <x:v>03B</x:v>
      </x:c>
    </x:row>
    <x:row r="87">
      <x:c r="A87" s="23" t="s">
        <x:v>123</x:v>
      </x:c>
      <x:c r="B87" s="5" t="s">
        <x:v>215</x:v>
      </x:c>
      <x:c r="C87" s="8" t="s">
        <x:v>216</x:v>
      </x:c>
      <x:c r="D87" s="8" t="s">
        <x:v>135</x:v>
      </x:c>
      <x:c r="E87" s="5" t="s">
        <x:v>17</x:v>
      </x:c>
      <x:c r="F87" s="5"/>
      <x:c r="G87" s="5"/>
      <x:c r="H87" s="5" t="s">
        <x:v>35</x:v>
      </x:c>
      <x:c r="I87" s="26" t="s">
        <x:v>72</x:v>
      </x:c>
      <x:c r="J87" s="5" t="s">
        <x:v>73</x:v>
      </x:c>
      <x:c r="K87" s="28" t="s">
        <x:v>12</x:v>
      </x:c>
      <x:c r="L87" s="11"/>
      <x:c r="M87" s="43" t="n">
        <x:v>14</x:v>
      </x:c>
      <x:c r="N87" s="44" t="str">
        <x:v>08B</x:v>
      </x:c>
    </x:row>
    <x:row r="88">
      <x:c r="A88" s="23" t="s">
        <x:v>125</x:v>
      </x:c>
      <x:c r="B88" s="5" t="s">
        <x:v>217</x:v>
      </x:c>
      <x:c r="C88" s="8" t="s">
        <x:v>218</x:v>
      </x:c>
      <x:c r="D88" s="8" t="s">
        <x:v>78</x:v>
      </x:c>
      <x:c r="E88" s="5" t="s">
        <x:v>17</x:v>
      </x:c>
      <x:c r="F88" s="5"/>
      <x:c r="G88" s="5"/>
      <x:c r="H88" s="5" t="s">
        <x:v>39</x:v>
      </x:c>
      <x:c r="I88" s="5" t="s">
        <x:v>60</x:v>
      </x:c>
      <x:c r="J88" s="5" t="s">
        <x:v>61</x:v>
      </x:c>
      <x:c r="K88" s="29"/>
      <x:c r="L88" s="11"/>
      <x:c r="M88" s="43" t="n">
        <x:v>14</x:v>
      </x:c>
      <x:c r="N88" s="44" t="str">
        <x:v>11C</x:v>
      </x:c>
    </x:row>
    <x:row r="89">
      <x:c r="A89" s="24" t="s">
        <x:v>127</x:v>
      </x:c>
      <x:c r="B89" s="6">
        <x:v>85</x:v>
      </x:c>
      <x:c r="C89" s="9" t="s">
        <x:v>219</x:v>
      </x:c>
      <x:c r="D89" s="9" t="s">
        <x:v>78</x:v>
      </x:c>
      <x:c r="E89" s="6" t="s">
        <x:v>17</x:v>
      </x:c>
      <x:c r="F89" s="6"/>
      <x:c r="G89" s="6"/>
      <x:c r="H89" s="6" t="s">
        <x:v>72</x:v>
      </x:c>
      <x:c r="I89" s="6" t="s">
        <x:v>28</x:v>
      </x:c>
      <x:c r="K89" s="30"/>
      <x:c r="L89" s="12"/>
      <x:c r="M89" s="43" t="n">
        <x:v>14</x:v>
      </x:c>
      <x:c r="N89" s="44" t="str">
        <x:v>11A</x:v>
      </x:c>
    </x:row>
  </x:sheetData>
  <x:mergeCells>
    <x:mergeCell ref="A1:N1"/>
    <x:mergeCell ref="A2:N2"/>
    <x:mergeCell ref="A3:N3"/>
  </x:mergeCells>
  <x:pageMargins left="0.7" right="0.7" top="0.75" bottom="0.75" header="0.3" footer="0.3"/>
  <x:tableParts count="2">
    <x:tablePart xmlns:r="http://schemas.openxmlformats.org/officeDocument/2006/relationships" r:id="R826dae2765fc43c8"/>
    <x:tablePart xmlns:r="http://schemas.openxmlformats.org/officeDocument/2006/relationships" r:id="Raeeca3cf9593419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RowHeight="14"/>
  <x:cols>
    <x:col min="1" max="1" width="12" hidden="0" customWidth="1"/>
    <x:col min="2" max="2" width="13" hidden="0" customWidth="1"/>
    <x:col min="3" max="3" width="20" hidden="0" customWidth="1"/>
    <x:col min="4" max="4" width="9" hidden="0" customWidth="1"/>
    <x:col min="5" max="5" width="9" hidden="0" customWidth="1"/>
    <x:col min="6" max="6" width="9" hidden="0" customWidth="1"/>
    <x:col min="7" max="7" width="18" hidden="0" customWidth="1"/>
    <x:col min="8" max="8" width="18" hidden="0" customWidth="1"/>
  </x:cols>
  <x:sheetData>
    <x:row r="1" ht="30" customHeight="1">
      <x:c r="A1" s="48" t="str">
        <x:v>用餐桌次名單</x:v>
      </x:c>
      <x:c r="B1" s="48"/>
      <x:c r="C1" s="48"/>
      <x:c r="D1" s="48"/>
      <x:c r="E1" s="48"/>
      <x:c r="F1" s="48"/>
      <x:c r="G1" s="48"/>
      <x:c r="H1" s="48"/>
    </x:row>
    <x:row r="2" ht="22" customHeight="1">
      <x:c r="A2" s="51" t="str">
        <x:v>依總表桌次整理｜共 85 人、9 桌；內容與總表連動。</x:v>
      </x:c>
      <x:c r="B2" s="51"/>
      <x:c r="C2" s="51"/>
      <x:c r="D2" s="51"/>
      <x:c r="E2" s="51"/>
      <x:c r="F2" s="51"/>
      <x:c r="G2" s="51"/>
      <x:c r="H2" s="51"/>
    </x:row>
    <x:row r="3">
      <x:c r="A3"/>
    </x:row>
    <x:row r="4" ht="24" customHeight="1">
      <x:c r="A4" s="52" t="str">
        <x:v>桌次</x:v>
      </x:c>
      <x:c r="B4" s="53" t="str">
        <x:v>姓名</x:v>
      </x:c>
      <x:c r="C4" s="53" t="str">
        <x:v>單位</x:v>
      </x:c>
      <x:c r="D4" s="52" t="str">
        <x:v>性別</x:v>
      </x:c>
      <x:c r="E4" s="52" t="str">
        <x:v>房號</x:v>
      </x:c>
      <x:c r="F4" s="52" t="str">
        <x:v>編號</x:v>
      </x:c>
      <x:c r="G4" s="52" t="str">
        <x:v>青島房號</x:v>
      </x:c>
      <x:c r="H4" s="52" t="str">
        <x:v>濟南房號</x:v>
      </x:c>
    </x:row>
    <x:row r="5">
      <x:c r="A5" s="52" t="str">
        <x:f>'總表'!H5</x:f>
        <x:v>第1桌</x:v>
      </x:c>
      <x:c r="B5" s="53" t="str">
        <x:f>'總表'!C5</x:f>
        <x:v>許智雄</x:v>
      </x:c>
      <x:c r="C5" s="53" t="str">
        <x:f>'總表'!D5</x:f>
        <x:v>高天通訊處</x:v>
      </x:c>
      <x:c r="D5" s="52" t="str">
        <x:f>'總表'!E5</x:f>
        <x:v>男</x:v>
      </x:c>
      <x:c r="E5" s="52" t="str">
        <x:f>'總表'!A5</x:f>
        <x:v>1</x:v>
      </x:c>
      <x:c r="F5" s="52" t="str">
        <x:f>'總表'!B5</x:f>
        <x:v>1</x:v>
      </x:c>
      <x:c r="G5" s="52" t="str">
        <x:f>IF('總表'!F5="","",'總表'!F5)</x:f>
      </x:c>
      <x:c r="H5" s="52" t="str">
        <x:f>IF('總表'!G5="","",'總表'!G5)</x:f>
      </x:c>
    </x:row>
    <x:row r="6">
      <x:c r="A6" s="52" t="str">
        <x:f>'總表'!H6</x:f>
        <x:v>第1桌</x:v>
      </x:c>
      <x:c r="B6" s="53" t="str">
        <x:f>'總表'!C6</x:f>
        <x:v>謝政男</x:v>
      </x:c>
      <x:c r="C6" s="53" t="str">
        <x:f>'總表'!D6</x:f>
        <x:v>高天通訊處</x:v>
      </x:c>
      <x:c r="D6" s="52" t="str">
        <x:f>'總表'!E6</x:f>
        <x:v>男</x:v>
      </x:c>
      <x:c r="E6" s="52" t="str">
        <x:f>'總表'!A6</x:f>
        <x:v>1</x:v>
      </x:c>
      <x:c r="F6" s="52" t="str">
        <x:f>'總表'!B6</x:f>
        <x:v>2</x:v>
      </x:c>
      <x:c r="G6" s="52" t="str">
        <x:f>IF('總表'!F6="","",'總表'!F6)</x:f>
      </x:c>
      <x:c r="H6" s="52" t="str">
        <x:f>IF('總表'!G6="","",'總表'!G6)</x:f>
      </x:c>
    </x:row>
    <x:row r="7">
      <x:c r="A7" s="52" t="str">
        <x:f>'總表'!H7</x:f>
        <x:v>第1桌</x:v>
      </x:c>
      <x:c r="B7" s="53" t="str">
        <x:f>'總表'!C7</x:f>
        <x:v>何宜家</x:v>
      </x:c>
      <x:c r="C7" s="53" t="str">
        <x:f>'總表'!D7</x:f>
        <x:v>高天通訊處</x:v>
      </x:c>
      <x:c r="D7" s="52" t="str">
        <x:f>'總表'!E7</x:f>
        <x:v>女</x:v>
      </x:c>
      <x:c r="E7" s="52" t="str">
        <x:f>'總表'!A7</x:f>
        <x:v>2</x:v>
      </x:c>
      <x:c r="F7" s="52" t="str">
        <x:f>'總表'!B7</x:f>
        <x:v>3</x:v>
      </x:c>
      <x:c r="G7" s="52" t="str">
        <x:f>IF('總表'!F7="","",'總表'!F7)</x:f>
      </x:c>
      <x:c r="H7" s="52" t="str">
        <x:f>IF('總表'!G7="","",'總表'!G7)</x:f>
      </x:c>
    </x:row>
    <x:row r="8">
      <x:c r="A8" s="52" t="str">
        <x:f>'總表'!H8</x:f>
        <x:v>第1桌</x:v>
      </x:c>
      <x:c r="B8" s="53" t="str">
        <x:f>'總表'!C8</x:f>
        <x:v>蕭宇晴</x:v>
      </x:c>
      <x:c r="C8" s="53" t="str">
        <x:f>'總表'!D8</x:f>
        <x:v>高天通訊處</x:v>
      </x:c>
      <x:c r="D8" s="52" t="str">
        <x:f>'總表'!E8</x:f>
        <x:v>女</x:v>
      </x:c>
      <x:c r="E8" s="52" t="str">
        <x:f>'總表'!A8</x:f>
        <x:v>2</x:v>
      </x:c>
      <x:c r="F8" s="52" t="str">
        <x:f>'總表'!B8</x:f>
        <x:v>4</x:v>
      </x:c>
      <x:c r="G8" s="52" t="str">
        <x:f>IF('總表'!F8="","",'總表'!F8)</x:f>
      </x:c>
      <x:c r="H8" s="52" t="str">
        <x:f>IF('總表'!G8="","",'總表'!G8)</x:f>
      </x:c>
    </x:row>
    <x:row r="9">
      <x:c r="A9" s="52" t="str">
        <x:f>'總表'!H9</x:f>
        <x:v>第1桌</x:v>
      </x:c>
      <x:c r="B9" s="53" t="str">
        <x:f>'總表'!C9</x:f>
        <x:v>蕭如菁</x:v>
      </x:c>
      <x:c r="C9" s="53" t="str">
        <x:f>'總表'!D9</x:f>
        <x:v>高天通訊處</x:v>
      </x:c>
      <x:c r="D9" s="52" t="str">
        <x:f>'總表'!E9</x:f>
        <x:v>女</x:v>
      </x:c>
      <x:c r="E9" s="52" t="str">
        <x:f>'總表'!A9</x:f>
        <x:v>3</x:v>
      </x:c>
      <x:c r="F9" s="52" t="str">
        <x:f>'總表'!B9</x:f>
        <x:v>5</x:v>
      </x:c>
      <x:c r="G9" s="52" t="str">
        <x:f>IF('總表'!F9="","",'總表'!F9)</x:f>
      </x:c>
      <x:c r="H9" s="52" t="str">
        <x:f>IF('總表'!G9="","",'總表'!G9)</x:f>
      </x:c>
    </x:row>
    <x:row r="10">
      <x:c r="A10" s="52" t="str">
        <x:f>'總表'!H10</x:f>
        <x:v>第1桌</x:v>
      </x:c>
      <x:c r="B10" s="53" t="str">
        <x:f>'總表'!C10</x:f>
        <x:v>何宜庭</x:v>
      </x:c>
      <x:c r="C10" s="53" t="str">
        <x:f>'總表'!D10</x:f>
        <x:v>高天通訊處</x:v>
      </x:c>
      <x:c r="D10" s="52" t="str">
        <x:f>'總表'!E10</x:f>
        <x:v>女</x:v>
      </x:c>
      <x:c r="E10" s="52" t="str">
        <x:f>'總表'!A10</x:f>
        <x:v>3</x:v>
      </x:c>
      <x:c r="F10" s="52" t="str">
        <x:f>'總表'!B10</x:f>
        <x:v>6</x:v>
      </x:c>
      <x:c r="G10" s="52" t="str">
        <x:f>IF('總表'!F10="","",'總表'!F10)</x:f>
      </x:c>
      <x:c r="H10" s="52" t="str">
        <x:f>IF('總表'!G10="","",'總表'!G10)</x:f>
      </x:c>
    </x:row>
    <x:row r="11">
      <x:c r="A11" s="52" t="str">
        <x:f>'總表'!H11</x:f>
        <x:v>第1桌</x:v>
      </x:c>
      <x:c r="B11" s="53" t="str">
        <x:f>'總表'!C11</x:f>
        <x:v>戴東志</x:v>
      </x:c>
      <x:c r="C11" s="53" t="str">
        <x:f>'總表'!D11</x:f>
        <x:v>高天通訊處</x:v>
      </x:c>
      <x:c r="D11" s="52" t="str">
        <x:f>'總表'!E11</x:f>
        <x:v>男</x:v>
      </x:c>
      <x:c r="E11" s="52" t="str">
        <x:f>'總表'!A11</x:f>
        <x:v>4</x:v>
      </x:c>
      <x:c r="F11" s="52" t="str">
        <x:f>'總表'!B11</x:f>
        <x:v>7</x:v>
      </x:c>
      <x:c r="G11" s="52" t="str">
        <x:f>IF('總表'!F11="","",'總表'!F11)</x:f>
      </x:c>
      <x:c r="H11" s="52" t="str">
        <x:f>IF('總表'!G11="","",'總表'!G11)</x:f>
      </x:c>
    </x:row>
    <x:row r="12">
      <x:c r="A12" s="52" t="str">
        <x:f>'總表'!H12</x:f>
        <x:v>第1桌</x:v>
      </x:c>
      <x:c r="B12" s="53" t="str">
        <x:f>'總表'!C12</x:f>
        <x:v>詹政杰</x:v>
      </x:c>
      <x:c r="C12" s="53" t="str">
        <x:f>'總表'!D12</x:f>
        <x:v>高天通訊處</x:v>
      </x:c>
      <x:c r="D12" s="52" t="str">
        <x:f>'總表'!E12</x:f>
        <x:v>男</x:v>
      </x:c>
      <x:c r="E12" s="52" t="str">
        <x:f>'總表'!A12</x:f>
        <x:v>4</x:v>
      </x:c>
      <x:c r="F12" s="52" t="str">
        <x:f>'總表'!B12</x:f>
        <x:v>8</x:v>
      </x:c>
      <x:c r="G12" s="52" t="str">
        <x:f>IF('總表'!F12="","",'總表'!F12)</x:f>
      </x:c>
      <x:c r="H12" s="52" t="str">
        <x:f>IF('總表'!G12="","",'總表'!G12)</x:f>
      </x:c>
    </x:row>
    <x:row r="13">
      <x:c r="A13" s="52" t="str">
        <x:f>'總表'!H13</x:f>
        <x:v>第1桌</x:v>
      </x:c>
      <x:c r="B13" s="53" t="str">
        <x:f>'總表'!C13</x:f>
        <x:v>吳睿綝</x:v>
      </x:c>
      <x:c r="C13" s="53" t="str">
        <x:f>'總表'!D13</x:f>
        <x:v>高天通訊處</x:v>
      </x:c>
      <x:c r="D13" s="52" t="str">
        <x:f>'總表'!E13</x:f>
        <x:v>女</x:v>
      </x:c>
      <x:c r="E13" s="52" t="str">
        <x:f>'總表'!A13</x:f>
        <x:v>5</x:v>
      </x:c>
      <x:c r="F13" s="52" t="str">
        <x:f>'總表'!B13</x:f>
        <x:v>9</x:v>
      </x:c>
      <x:c r="G13" s="52" t="str">
        <x:f>IF('總表'!F13="","",'總表'!F13)</x:f>
      </x:c>
      <x:c r="H13" s="52" t="str">
        <x:f>IF('總表'!G13="","",'總表'!G13)</x:f>
      </x:c>
    </x:row>
    <x:row r="14">
      <x:c r="A14" s="52" t="str">
        <x:f>'總表'!H14</x:f>
        <x:v>第1桌</x:v>
      </x:c>
      <x:c r="B14" s="53" t="str">
        <x:f>'總表'!C14</x:f>
        <x:v>陳懷柔</x:v>
      </x:c>
      <x:c r="C14" s="53" t="str">
        <x:f>'總表'!D14</x:f>
        <x:v>高天通訊處</x:v>
      </x:c>
      <x:c r="D14" s="52" t="str">
        <x:f>'總表'!E14</x:f>
        <x:v>女</x:v>
      </x:c>
      <x:c r="E14" s="52" t="str">
        <x:f>'總表'!A14</x:f>
        <x:v>5</x:v>
      </x:c>
      <x:c r="F14" s="52" t="str">
        <x:f>'總表'!B14</x:f>
        <x:v>10</x:v>
      </x:c>
      <x:c r="G14" s="52" t="str">
        <x:f>IF('總表'!F14="","",'總表'!F14)</x:f>
      </x:c>
      <x:c r="H14" s="52" t="str">
        <x:f>IF('總表'!G14="","",'總表'!G14)</x:f>
      </x:c>
    </x:row>
    <x:row r="15">
      <x:c r="A15" s="52" t="str">
        <x:f>'總表'!H15</x:f>
        <x:v>第2桌</x:v>
      </x:c>
      <x:c r="B15" s="53" t="str">
        <x:f>'總表'!C15</x:f>
        <x:v>黃柏瑞</x:v>
      </x:c>
      <x:c r="C15" s="53" t="str">
        <x:f>'總表'!D15</x:f>
        <x:v>高貴通訊處</x:v>
      </x:c>
      <x:c r="D15" s="52" t="str">
        <x:f>'總表'!E15</x:f>
        <x:v>男</x:v>
      </x:c>
      <x:c r="E15" s="52" t="str">
        <x:f>'總表'!A15</x:f>
        <x:v>6</x:v>
      </x:c>
      <x:c r="F15" s="52" t="str">
        <x:f>'總表'!B15</x:f>
        <x:v>11</x:v>
      </x:c>
      <x:c r="G15" s="52" t="str">
        <x:f>IF('總表'!F15="","",'總表'!F15)</x:f>
      </x:c>
      <x:c r="H15" s="52" t="str">
        <x:f>IF('總表'!G15="","",'總表'!G15)</x:f>
      </x:c>
    </x:row>
    <x:row r="16">
      <x:c r="A16" s="52" t="str">
        <x:f>'總表'!H16</x:f>
        <x:v>第2桌</x:v>
      </x:c>
      <x:c r="B16" s="53" t="str">
        <x:f>'總表'!C16</x:f>
        <x:v>陳其呈</x:v>
      </x:c>
      <x:c r="C16" s="53" t="str">
        <x:f>'總表'!D16</x:f>
        <x:v>高貴通訊處</x:v>
      </x:c>
      <x:c r="D16" s="52" t="str">
        <x:f>'總表'!E16</x:f>
        <x:v>男</x:v>
      </x:c>
      <x:c r="E16" s="52" t="str">
        <x:f>'總表'!A16</x:f>
        <x:v>6</x:v>
      </x:c>
      <x:c r="F16" s="52" t="str">
        <x:f>'總表'!B16</x:f>
        <x:v>12</x:v>
      </x:c>
      <x:c r="G16" s="52" t="str">
        <x:f>IF('總表'!F16="","",'總表'!F16)</x:f>
      </x:c>
      <x:c r="H16" s="52" t="str">
        <x:f>IF('總表'!G16="","",'總表'!G16)</x:f>
      </x:c>
    </x:row>
    <x:row r="17">
      <x:c r="A17" s="52" t="str">
        <x:f>'總表'!H71</x:f>
        <x:v>第2桌</x:v>
      </x:c>
      <x:c r="B17" s="53" t="str">
        <x:f>'總表'!C71</x:f>
        <x:v>張祐珮</x:v>
      </x:c>
      <x:c r="C17" s="53" t="str">
        <x:f>'總表'!D71</x:f>
        <x:v>富后通訊處</x:v>
      </x:c>
      <x:c r="D17" s="52" t="str">
        <x:f>'總表'!E71</x:f>
        <x:v>女</x:v>
      </x:c>
      <x:c r="E17" s="52" t="str">
        <x:f>'總表'!A71</x:f>
        <x:v>34</x:v>
      </x:c>
      <x:c r="F17" s="52" t="str">
        <x:f>'總表'!B71</x:f>
        <x:v>67</x:v>
      </x:c>
      <x:c r="G17" s="52" t="str">
        <x:f>IF('總表'!F71="","",'總表'!F71)</x:f>
      </x:c>
      <x:c r="H17" s="52" t="str">
        <x:f>IF('總表'!G71="","",'總表'!G71)</x:f>
      </x:c>
    </x:row>
    <x:row r="18">
      <x:c r="A18" s="52" t="str">
        <x:f>'總表'!H72</x:f>
        <x:v>第2桌</x:v>
      </x:c>
      <x:c r="B18" s="53" t="str">
        <x:f>'總表'!C72</x:f>
        <x:v>施昕余</x:v>
      </x:c>
      <x:c r="C18" s="53" t="str">
        <x:f>'總表'!D72</x:f>
        <x:v>中銘通訊處</x:v>
      </x:c>
      <x:c r="D18" s="52" t="str">
        <x:f>'總表'!E72</x:f>
        <x:v>女</x:v>
      </x:c>
      <x:c r="E18" s="52" t="str">
        <x:f>'總表'!A72</x:f>
        <x:v>34</x:v>
      </x:c>
      <x:c r="F18" s="52" t="str">
        <x:f>'總表'!B72</x:f>
        <x:v>68</x:v>
      </x:c>
      <x:c r="G18" s="52" t="str">
        <x:f>IF('總表'!F72="","",'總表'!F72)</x:f>
      </x:c>
      <x:c r="H18" s="52" t="str">
        <x:f>IF('總表'!G72="","",'總表'!G72)</x:f>
      </x:c>
    </x:row>
    <x:row r="19">
      <x:c r="A19" s="52" t="str">
        <x:f>'總表'!H73</x:f>
        <x:v>第2桌</x:v>
      </x:c>
      <x:c r="B19" s="53" t="str">
        <x:f>'總表'!C73</x:f>
        <x:v>吳皓誠</x:v>
      </x:c>
      <x:c r="C19" s="53" t="str">
        <x:f>'總表'!D73</x:f>
        <x:v>富亨通訊處</x:v>
      </x:c>
      <x:c r="D19" s="52" t="str">
        <x:f>'總表'!E73</x:f>
        <x:v>男</x:v>
      </x:c>
      <x:c r="E19" s="52" t="str">
        <x:f>'總表'!A73</x:f>
        <x:v>35</x:v>
      </x:c>
      <x:c r="F19" s="52" t="str">
        <x:f>'總表'!B73</x:f>
        <x:v>69</x:v>
      </x:c>
      <x:c r="G19" s="52" t="str">
        <x:f>IF('總表'!F73="","",'總表'!F73)</x:f>
      </x:c>
      <x:c r="H19" s="52" t="str">
        <x:f>IF('總表'!G73="","",'總表'!G73)</x:f>
      </x:c>
    </x:row>
    <x:row r="20">
      <x:c r="A20" s="52" t="str">
        <x:f>'總表'!H74</x:f>
        <x:v>第2桌</x:v>
      </x:c>
      <x:c r="B20" s="53" t="str">
        <x:f>'總表'!C74</x:f>
        <x:v>張家瑋</x:v>
      </x:c>
      <x:c r="C20" s="53" t="str">
        <x:f>'總表'!D74</x:f>
        <x:v>富亨通訊處</x:v>
      </x:c>
      <x:c r="D20" s="52" t="str">
        <x:f>'總表'!E74</x:f>
        <x:v>男</x:v>
      </x:c>
      <x:c r="E20" s="52" t="str">
        <x:f>'總表'!A74</x:f>
        <x:v>35</x:v>
      </x:c>
      <x:c r="F20" s="52" t="str">
        <x:f>'總表'!B74</x:f>
        <x:v>70</x:v>
      </x:c>
      <x:c r="G20" s="52" t="str">
        <x:f>IF('總表'!F74="","",'總表'!F74)</x:f>
      </x:c>
      <x:c r="H20" s="52" t="str">
        <x:f>IF('總表'!G74="","",'總表'!G74)</x:f>
      </x:c>
    </x:row>
    <x:row r="21">
      <x:c r="A21" s="52" t="str">
        <x:f>'總表'!H75</x:f>
        <x:v>第2桌</x:v>
      </x:c>
      <x:c r="B21" s="53" t="str">
        <x:f>'總表'!C75</x:f>
        <x:v>馬英傑</x:v>
      </x:c>
      <x:c r="C21" s="53" t="str">
        <x:f>'總表'!D75</x:f>
        <x:v>富亨通訊處</x:v>
      </x:c>
      <x:c r="D21" s="52" t="str">
        <x:f>'總表'!E75</x:f>
        <x:v>男</x:v>
      </x:c>
      <x:c r="E21" s="52" t="str">
        <x:f>'總表'!A75</x:f>
        <x:v>36</x:v>
      </x:c>
      <x:c r="F21" s="52" t="str">
        <x:f>'總表'!B75</x:f>
        <x:v>71</x:v>
      </x:c>
      <x:c r="G21" s="52" t="str">
        <x:f>IF('總表'!F75="","",'總表'!F75)</x:f>
      </x:c>
      <x:c r="H21" s="52" t="str">
        <x:f>IF('總表'!G75="","",'總表'!G75)</x:f>
      </x:c>
    </x:row>
    <x:row r="22">
      <x:c r="A22" s="52" t="str">
        <x:f>'總表'!H76</x:f>
        <x:v>第2桌</x:v>
      </x:c>
      <x:c r="B22" s="53" t="str">
        <x:f>'總表'!C76</x:f>
        <x:v>林宏威</x:v>
      </x:c>
      <x:c r="C22" s="53" t="str">
        <x:f>'總表'!D76</x:f>
        <x:v>富亨通訊處</x:v>
      </x:c>
      <x:c r="D22" s="52" t="str">
        <x:f>'總表'!E76</x:f>
        <x:v>男</x:v>
      </x:c>
      <x:c r="E22" s="52" t="str">
        <x:f>'總表'!A76</x:f>
        <x:v>36</x:v>
      </x:c>
      <x:c r="F22" s="52" t="str">
        <x:f>'總表'!B76</x:f>
        <x:v>72</x:v>
      </x:c>
      <x:c r="G22" s="52" t="str">
        <x:f>IF('總表'!F76="","",'總表'!F76)</x:f>
      </x:c>
      <x:c r="H22" s="52" t="str">
        <x:f>IF('總表'!G76="","",'總表'!G76)</x:f>
      </x:c>
    </x:row>
    <x:row r="23">
      <x:c r="A23" s="52" t="str">
        <x:f>'總表'!H77</x:f>
        <x:v>第2桌</x:v>
      </x:c>
      <x:c r="B23" s="53" t="str">
        <x:f>'總表'!C77</x:f>
        <x:v>陳怡萍</x:v>
      </x:c>
      <x:c r="C23" s="53" t="str">
        <x:f>'總表'!D77</x:f>
        <x:v>富亨通訊處</x:v>
      </x:c>
      <x:c r="D23" s="52" t="str">
        <x:f>'總表'!E77</x:f>
        <x:v>女</x:v>
      </x:c>
      <x:c r="E23" s="52" t="str">
        <x:f>'總表'!A77</x:f>
        <x:v>37</x:v>
      </x:c>
      <x:c r="F23" s="52" t="str">
        <x:f>'總表'!B77</x:f>
        <x:v>73</x:v>
      </x:c>
      <x:c r="G23" s="52" t="str">
        <x:f>IF('總表'!F77="","",'總表'!F77)</x:f>
      </x:c>
      <x:c r="H23" s="52" t="str">
        <x:f>IF('總表'!G77="","",'總表'!G77)</x:f>
      </x:c>
    </x:row>
    <x:row r="24">
      <x:c r="A24" s="52" t="str">
        <x:f>'總表'!H78</x:f>
        <x:v>第2桌</x:v>
      </x:c>
      <x:c r="B24" s="53" t="str">
        <x:f>'總表'!C78</x:f>
        <x:v>廖家慧</x:v>
      </x:c>
      <x:c r="C24" s="53" t="str">
        <x:f>'總表'!D78</x:f>
        <x:v>富亨通訊處</x:v>
      </x:c>
      <x:c r="D24" s="52" t="str">
        <x:f>'總表'!E78</x:f>
        <x:v>女</x:v>
      </x:c>
      <x:c r="E24" s="52" t="str">
        <x:f>'總表'!A78</x:f>
        <x:v>37</x:v>
      </x:c>
      <x:c r="F24" s="52" t="str">
        <x:f>'總表'!B78</x:f>
        <x:v>74</x:v>
      </x:c>
      <x:c r="G24" s="52" t="str">
        <x:f>IF('總表'!F78="","",'總表'!F78)</x:f>
      </x:c>
      <x:c r="H24" s="52" t="str">
        <x:f>IF('總表'!G78="","",'總表'!G78)</x:f>
      </x:c>
    </x:row>
    <x:row r="25">
      <x:c r="A25" s="52" t="str">
        <x:f>'總表'!H45</x:f>
        <x:v>第3桌</x:v>
      </x:c>
      <x:c r="B25" s="53" t="str">
        <x:f>'總表'!C45</x:f>
        <x:v>簡宏鈞</x:v>
      </x:c>
      <x:c r="C25" s="53" t="str">
        <x:f>'總表'!D45</x:f>
        <x:v>富能通訊處</x:v>
      </x:c>
      <x:c r="D25" s="52" t="str">
        <x:f>'總表'!E45</x:f>
        <x:v>男</x:v>
      </x:c>
      <x:c r="E25" s="52" t="str">
        <x:f>'總表'!A45</x:f>
        <x:v>21</x:v>
      </x:c>
      <x:c r="F25" s="52" t="str">
        <x:f>'總表'!B45</x:f>
        <x:v>41</x:v>
      </x:c>
      <x:c r="G25" s="52" t="str">
        <x:f>IF('總表'!F45="","",'總表'!F45)</x:f>
      </x:c>
      <x:c r="H25" s="52" t="str">
        <x:f>IF('總表'!G45="","",'總表'!G45)</x:f>
      </x:c>
    </x:row>
    <x:row r="26">
      <x:c r="A26" s="52" t="str">
        <x:f>'總表'!H51</x:f>
        <x:v>第3桌</x:v>
      </x:c>
      <x:c r="B26" s="53" t="str">
        <x:f>'總表'!C51</x:f>
        <x:v>傅佳旻</x:v>
      </x:c>
      <x:c r="C26" s="53" t="str">
        <x:f>'總表'!D51</x:f>
        <x:v>富占通訊處</x:v>
      </x:c>
      <x:c r="D26" s="52" t="str">
        <x:f>'總表'!E51</x:f>
        <x:v>女</x:v>
      </x:c>
      <x:c r="E26" s="52" t="str">
        <x:f>'總表'!A51</x:f>
        <x:v>24</x:v>
      </x:c>
      <x:c r="F26" s="52" t="str">
        <x:f>'總表'!B51</x:f>
        <x:v>47</x:v>
      </x:c>
      <x:c r="G26" s="52" t="str">
        <x:f>IF('總表'!F51="","",'總表'!F51)</x:f>
      </x:c>
      <x:c r="H26" s="52" t="str">
        <x:f>IF('總表'!G51="","",'總表'!G51)</x:f>
      </x:c>
    </x:row>
    <x:row r="27">
      <x:c r="A27" s="52" t="str">
        <x:f>'總表'!H52</x:f>
        <x:v>第3桌</x:v>
      </x:c>
      <x:c r="B27" s="53" t="str">
        <x:f>'總表'!C52</x:f>
        <x:v>徐維鈴</x:v>
      </x:c>
      <x:c r="C27" s="53" t="str">
        <x:f>'總表'!D52</x:f>
        <x:v>富占通訊處</x:v>
      </x:c>
      <x:c r="D27" s="52" t="str">
        <x:f>'總表'!E52</x:f>
        <x:v>女</x:v>
      </x:c>
      <x:c r="E27" s="52" t="str">
        <x:f>'總表'!A52</x:f>
        <x:v>24</x:v>
      </x:c>
      <x:c r="F27" s="52" t="str">
        <x:f>'總表'!B52</x:f>
        <x:v>48</x:v>
      </x:c>
      <x:c r="G27" s="52" t="str">
        <x:f>IF('總表'!F52="","",'總表'!F52)</x:f>
      </x:c>
      <x:c r="H27" s="52" t="str">
        <x:f>IF('總表'!G52="","",'總表'!G52)</x:f>
      </x:c>
    </x:row>
    <x:row r="28">
      <x:c r="A28" s="52" t="str">
        <x:f>'總表'!H53</x:f>
        <x:v>第3桌</x:v>
      </x:c>
      <x:c r="B28" s="53" t="str">
        <x:f>'總表'!C53</x:f>
        <x:v>鍾怡婷</x:v>
      </x:c>
      <x:c r="C28" s="53" t="str">
        <x:f>'總表'!D53</x:f>
        <x:v>富占通訊處</x:v>
      </x:c>
      <x:c r="D28" s="52" t="str">
        <x:f>'總表'!E53</x:f>
        <x:v>女</x:v>
      </x:c>
      <x:c r="E28" s="52" t="str">
        <x:f>'總表'!A53</x:f>
        <x:v>25</x:v>
      </x:c>
      <x:c r="F28" s="52" t="str">
        <x:f>'總表'!B53</x:f>
        <x:v>49</x:v>
      </x:c>
      <x:c r="G28" s="52" t="str">
        <x:f>IF('總表'!F53="","",'總表'!F53)</x:f>
      </x:c>
      <x:c r="H28" s="52" t="str">
        <x:f>IF('總表'!G53="","",'總表'!G53)</x:f>
      </x:c>
    </x:row>
    <x:row r="29">
      <x:c r="A29" s="52" t="str">
        <x:f>'總表'!H54</x:f>
        <x:v>第3桌</x:v>
      </x:c>
      <x:c r="B29" s="53" t="str">
        <x:f>'總表'!C54</x:f>
        <x:v>林宜潔</x:v>
      </x:c>
      <x:c r="C29" s="53" t="str">
        <x:f>'總表'!D54</x:f>
        <x:v>富占通訊處</x:v>
      </x:c>
      <x:c r="D29" s="52" t="str">
        <x:f>'總表'!E54</x:f>
        <x:v>女</x:v>
      </x:c>
      <x:c r="E29" s="52" t="str">
        <x:f>'總表'!A54</x:f>
        <x:v>25</x:v>
      </x:c>
      <x:c r="F29" s="52" t="str">
        <x:f>'總表'!B54</x:f>
        <x:v>50</x:v>
      </x:c>
      <x:c r="G29" s="52" t="str">
        <x:f>IF('總表'!F54="","",'總表'!F54)</x:f>
      </x:c>
      <x:c r="H29" s="52" t="str">
        <x:f>IF('總表'!G54="","",'總表'!G54)</x:f>
      </x:c>
    </x:row>
    <x:row r="30">
      <x:c r="A30" s="52" t="str">
        <x:f>'總表'!H65</x:f>
        <x:v>第3桌</x:v>
      </x:c>
      <x:c r="B30" s="53" t="str">
        <x:f>'總表'!C65</x:f>
        <x:v>蔡承遠</x:v>
      </x:c>
      <x:c r="C30" s="53" t="str">
        <x:f>'總表'!D65</x:f>
        <x:v>富則通訊處</x:v>
      </x:c>
      <x:c r="D30" s="52" t="str">
        <x:f>'總表'!E65</x:f>
        <x:v>男</x:v>
      </x:c>
      <x:c r="E30" s="52" t="str">
        <x:f>'總表'!A65</x:f>
        <x:v>31</x:v>
      </x:c>
      <x:c r="F30" s="52" t="str">
        <x:f>'總表'!B65</x:f>
        <x:v>61</x:v>
      </x:c>
      <x:c r="G30" s="52" t="str">
        <x:f>IF('總表'!F65="","",'總表'!F65)</x:f>
      </x:c>
      <x:c r="H30" s="52" t="str">
        <x:f>IF('總表'!G65="","",'總表'!G65)</x:f>
      </x:c>
    </x:row>
    <x:row r="31">
      <x:c r="A31" s="52" t="str">
        <x:f>'總表'!H66</x:f>
        <x:v>第3桌</x:v>
      </x:c>
      <x:c r="B31" s="53" t="str">
        <x:f>'總表'!C66</x:f>
        <x:v>張國興</x:v>
      </x:c>
      <x:c r="C31" s="53" t="str">
        <x:f>'總表'!D66</x:f>
        <x:v>富則通訊處</x:v>
      </x:c>
      <x:c r="D31" s="52" t="str">
        <x:f>'總表'!E66</x:f>
        <x:v>男</x:v>
      </x:c>
      <x:c r="E31" s="52" t="str">
        <x:f>'總表'!A66</x:f>
        <x:v>31</x:v>
      </x:c>
      <x:c r="F31" s="52" t="str">
        <x:f>'總表'!B66</x:f>
        <x:v>62</x:v>
      </x:c>
      <x:c r="G31" s="52" t="str">
        <x:f>IF('總表'!F66="","",'總表'!F66)</x:f>
      </x:c>
      <x:c r="H31" s="52" t="str">
        <x:f>IF('總表'!G66="","",'總表'!G66)</x:f>
      </x:c>
    </x:row>
    <x:row r="32">
      <x:c r="A32" s="52" t="str">
        <x:f>'總表'!H85</x:f>
        <x:v>第3桌</x:v>
      </x:c>
      <x:c r="B32" s="53" t="str">
        <x:f>'總表'!C85</x:f>
        <x:v>鄭占禮</x:v>
      </x:c>
      <x:c r="C32" s="53" t="str">
        <x:f>'總表'!D85</x:f>
        <x:v>富占通訊處</x:v>
      </x:c>
      <x:c r="D32" s="52" t="str">
        <x:f>'總表'!E85</x:f>
        <x:v>男</x:v>
      </x:c>
      <x:c r="E32" s="52" t="str">
        <x:f>'總表'!A85</x:f>
        <x:v>41</x:v>
      </x:c>
      <x:c r="F32" s="52" t="str">
        <x:f>'總表'!B85</x:f>
        <x:v>81</x:v>
      </x:c>
      <x:c r="G32" s="52" t="str">
        <x:f>IF('總表'!F85="","",'總表'!F85)</x:f>
        <x:v>1111</x:v>
      </x:c>
      <x:c r="H32" s="52" t="str">
        <x:f>IF('總表'!G85="","",'總表'!G85)</x:f>
        <x:v>2222</x:v>
      </x:c>
    </x:row>
    <x:row r="33">
      <x:c r="A33" s="52" t="str">
        <x:f>'總表'!H86</x:f>
        <x:v>第3桌</x:v>
      </x:c>
      <x:c r="B33" s="53" t="str">
        <x:f>'總表'!C86</x:f>
        <x:v>孫振文</x:v>
      </x:c>
      <x:c r="C33" s="53" t="str">
        <x:f>'總表'!D86</x:f>
        <x:v>富北通訊處</x:v>
      </x:c>
      <x:c r="D33" s="52" t="str">
        <x:f>'總表'!E86</x:f>
        <x:v>男</x:v>
      </x:c>
      <x:c r="E33" s="52" t="str">
        <x:f>'總表'!A86</x:f>
        <x:v>41</x:v>
      </x:c>
      <x:c r="F33" s="52" t="str">
        <x:f>'總表'!B86</x:f>
        <x:v>82</x:v>
      </x:c>
      <x:c r="G33" s="52" t="str">
        <x:f>IF('總表'!F86="","",'總表'!F86)</x:f>
      </x:c>
      <x:c r="H33" s="52" t="str">
        <x:f>IF('總表'!G86="","",'總表'!G86)</x:f>
      </x:c>
    </x:row>
    <x:row r="34">
      <x:c r="A34" s="52" t="str">
        <x:f>'總表'!H87</x:f>
        <x:v>第3桌</x:v>
      </x:c>
      <x:c r="B34" s="53" t="str">
        <x:f>'總表'!C87</x:f>
        <x:v>范毓斌</x:v>
      </x:c>
      <x:c r="C34" s="53" t="str">
        <x:f>'總表'!D87</x:f>
        <x:v>富占通訊處</x:v>
      </x:c>
      <x:c r="D34" s="52" t="str">
        <x:f>'總表'!E87</x:f>
        <x:v>男</x:v>
      </x:c>
      <x:c r="E34" s="52" t="str">
        <x:f>'總表'!A87</x:f>
        <x:v>42</x:v>
      </x:c>
      <x:c r="F34" s="52" t="str">
        <x:f>'總表'!B87</x:f>
        <x:v>83</x:v>
      </x:c>
      <x:c r="G34" s="52" t="str">
        <x:f>IF('總表'!F87="","",'總表'!F87)</x:f>
      </x:c>
      <x:c r="H34" s="52" t="str">
        <x:f>IF('總表'!G87="","",'總表'!G87)</x:f>
      </x:c>
    </x:row>
    <x:row r="35">
      <x:c r="A35" s="52" t="str">
        <x:f>'總表'!H25</x:f>
        <x:v>第4桌</x:v>
      </x:c>
      <x:c r="B35" s="53" t="str">
        <x:f>'總表'!C25</x:f>
        <x:v>賴含怡</x:v>
      </x:c>
      <x:c r="C35" s="53" t="str">
        <x:f>'總表'!D25</x:f>
        <x:v>富則通訊處</x:v>
      </x:c>
      <x:c r="D35" s="52" t="str">
        <x:f>'總表'!E25</x:f>
        <x:v>女</x:v>
      </x:c>
      <x:c r="E35" s="52" t="str">
        <x:f>'總表'!A25</x:f>
        <x:v>11</x:v>
      </x:c>
      <x:c r="F35" s="52" t="str">
        <x:f>'總表'!B25</x:f>
        <x:v>21</x:v>
      </x:c>
      <x:c r="G35" s="52" t="str">
        <x:f>IF('總表'!F25="","",'總表'!F25)</x:f>
      </x:c>
      <x:c r="H35" s="52" t="str">
        <x:f>IF('總表'!G25="","",'總表'!G25)</x:f>
      </x:c>
    </x:row>
    <x:row r="36">
      <x:c r="A36" s="52" t="str">
        <x:f>'總表'!H39</x:f>
        <x:v>第4桌</x:v>
      </x:c>
      <x:c r="B36" s="53" t="str">
        <x:f>'總表'!C39</x:f>
        <x:v>鄭丞哲</x:v>
      </x:c>
      <x:c r="C36" s="53" t="str">
        <x:f>'總表'!D39</x:f>
        <x:v>富吳通訊處</x:v>
      </x:c>
      <x:c r="D36" s="52" t="str">
        <x:f>'總表'!E39</x:f>
        <x:v>男</x:v>
      </x:c>
      <x:c r="E36" s="52" t="str">
        <x:f>'總表'!A39</x:f>
        <x:v>18</x:v>
      </x:c>
      <x:c r="F36" s="52" t="str">
        <x:f>'總表'!B39</x:f>
        <x:v>35</x:v>
      </x:c>
      <x:c r="G36" s="52" t="str">
        <x:f>IF('總表'!F39="","",'總表'!F39)</x:f>
      </x:c>
      <x:c r="H36" s="52" t="str">
        <x:f>IF('總表'!G39="","",'總表'!G39)</x:f>
      </x:c>
    </x:row>
    <x:row r="37">
      <x:c r="A37" s="52" t="str">
        <x:f>'總表'!H40</x:f>
        <x:v>第4桌</x:v>
      </x:c>
      <x:c r="B37" s="53" t="str">
        <x:f>'總表'!C40</x:f>
        <x:v>謝宇軒</x:v>
      </x:c>
      <x:c r="C37" s="53" t="str">
        <x:f>'總表'!D40</x:f>
        <x:v>富吳通訊處</x:v>
      </x:c>
      <x:c r="D37" s="52" t="str">
        <x:f>'總表'!E40</x:f>
        <x:v>男</x:v>
      </x:c>
      <x:c r="E37" s="52" t="str">
        <x:f>'總表'!A40</x:f>
        <x:v>18</x:v>
      </x:c>
      <x:c r="F37" s="52" t="str">
        <x:f>'總表'!B40</x:f>
        <x:v>36</x:v>
      </x:c>
      <x:c r="G37" s="52" t="str">
        <x:f>IF('總表'!F40="","",'總表'!F40)</x:f>
      </x:c>
      <x:c r="H37" s="52" t="str">
        <x:f>IF('總表'!G40="","",'總表'!G40)</x:f>
      </x:c>
    </x:row>
    <x:row r="38">
      <x:c r="A38" s="52" t="str">
        <x:f>'總表'!H57</x:f>
        <x:v>第4桌</x:v>
      </x:c>
      <x:c r="B38" s="53" t="str">
        <x:f>'總表'!C57</x:f>
        <x:v>吳品萱</x:v>
      </x:c>
      <x:c r="C38" s="53" t="str">
        <x:f>'總表'!D57</x:f>
        <x:v>富則通訊處</x:v>
      </x:c>
      <x:c r="D38" s="52" t="str">
        <x:f>'總表'!E57</x:f>
        <x:v>女</x:v>
      </x:c>
      <x:c r="E38" s="52" t="str">
        <x:f>'總表'!A57</x:f>
        <x:v>27</x:v>
      </x:c>
      <x:c r="F38" s="52" t="str">
        <x:f>'總表'!B57</x:f>
        <x:v>53</x:v>
      </x:c>
      <x:c r="G38" s="52" t="str">
        <x:f>IF('總表'!F57="","",'總表'!F57)</x:f>
      </x:c>
      <x:c r="H38" s="52" t="str">
        <x:f>IF('總表'!G57="","",'總表'!G57)</x:f>
      </x:c>
    </x:row>
    <x:row r="39">
      <x:c r="A39" s="52" t="str">
        <x:f>'總表'!H59</x:f>
        <x:v>第4桌</x:v>
      </x:c>
      <x:c r="B39" s="53" t="str">
        <x:f>'總表'!C59</x:f>
        <x:v>余妏珊</x:v>
      </x:c>
      <x:c r="C39" s="53" t="str">
        <x:f>'總表'!D59</x:f>
        <x:v>富則通訊處</x:v>
      </x:c>
      <x:c r="D39" s="52" t="str">
        <x:f>'總表'!E59</x:f>
        <x:v>女</x:v>
      </x:c>
      <x:c r="E39" s="52" t="str">
        <x:f>'總表'!A59</x:f>
        <x:v>28</x:v>
      </x:c>
      <x:c r="F39" s="52" t="str">
        <x:f>'總表'!B59</x:f>
        <x:v>55</x:v>
      </x:c>
      <x:c r="G39" s="52" t="str">
        <x:f>IF('總表'!F59="","",'總表'!F59)</x:f>
      </x:c>
      <x:c r="H39" s="52" t="str">
        <x:f>IF('總表'!G59="","",'總表'!G59)</x:f>
      </x:c>
    </x:row>
    <x:row r="40">
      <x:c r="A40" s="52" t="str">
        <x:f>'總表'!H60</x:f>
        <x:v>第4桌</x:v>
      </x:c>
      <x:c r="B40" s="53" t="str">
        <x:f>'總表'!C60</x:f>
        <x:v>余若馨</x:v>
      </x:c>
      <x:c r="C40" s="53" t="str">
        <x:f>'總表'!D60</x:f>
        <x:v>富則通訊處</x:v>
      </x:c>
      <x:c r="D40" s="52" t="str">
        <x:f>'總表'!E60</x:f>
        <x:v>女</x:v>
      </x:c>
      <x:c r="E40" s="52" t="str">
        <x:f>'總表'!A60</x:f>
        <x:v>28</x:v>
      </x:c>
      <x:c r="F40" s="52" t="str">
        <x:f>'總表'!B60</x:f>
        <x:v>56</x:v>
      </x:c>
      <x:c r="G40" s="52" t="str">
        <x:f>IF('總表'!F60="","",'總表'!F60)</x:f>
      </x:c>
      <x:c r="H40" s="52" t="str">
        <x:f>IF('總表'!G60="","",'總表'!G60)</x:f>
      </x:c>
    </x:row>
    <x:row r="41">
      <x:c r="A41" s="52" t="str">
        <x:f>'總表'!H63</x:f>
        <x:v>第4桌</x:v>
      </x:c>
      <x:c r="B41" s="53" t="str">
        <x:f>'總表'!C63</x:f>
        <x:v>李孟珊</x:v>
      </x:c>
      <x:c r="C41" s="53" t="str">
        <x:f>'總表'!D63</x:f>
        <x:v>富則通訊處</x:v>
      </x:c>
      <x:c r="D41" s="52" t="str">
        <x:f>'總表'!E63</x:f>
        <x:v>女</x:v>
      </x:c>
      <x:c r="E41" s="52" t="str">
        <x:f>'總表'!A63</x:f>
        <x:v>30</x:v>
      </x:c>
      <x:c r="F41" s="52" t="str">
        <x:f>'總表'!B63</x:f>
        <x:v>59</x:v>
      </x:c>
      <x:c r="G41" s="52" t="str">
        <x:f>IF('總表'!F63="","",'總表'!F63)</x:f>
      </x:c>
      <x:c r="H41" s="52" t="str">
        <x:f>IF('總表'!G63="","",'總表'!G63)</x:f>
      </x:c>
    </x:row>
    <x:row r="42">
      <x:c r="A42" s="52" t="str">
        <x:f>'總表'!H67</x:f>
        <x:v>第4桌</x:v>
      </x:c>
      <x:c r="B42" s="53" t="str">
        <x:f>'總表'!C67</x:f>
        <x:v>高智源</x:v>
      </x:c>
      <x:c r="C42" s="53" t="str">
        <x:f>'總表'!D67</x:f>
        <x:v>富則通訊處</x:v>
      </x:c>
      <x:c r="D42" s="52" t="str">
        <x:f>'總表'!E67</x:f>
        <x:v>男</x:v>
      </x:c>
      <x:c r="E42" s="52" t="str">
        <x:f>'總表'!A67</x:f>
        <x:v>32</x:v>
      </x:c>
      <x:c r="F42" s="52" t="str">
        <x:f>'總表'!B67</x:f>
        <x:v>63</x:v>
      </x:c>
      <x:c r="G42" s="52" t="str">
        <x:f>IF('總表'!F67="","",'總表'!F67)</x:f>
      </x:c>
      <x:c r="H42" s="52" t="str">
        <x:f>IF('總表'!G67="","",'總表'!G67)</x:f>
      </x:c>
    </x:row>
    <x:row r="43">
      <x:c r="A43" s="52" t="str">
        <x:f>'總表'!H68</x:f>
        <x:v>第4桌</x:v>
      </x:c>
      <x:c r="B43" s="53" t="str">
        <x:f>'總表'!C68</x:f>
        <x:v>王銘宏</x:v>
      </x:c>
      <x:c r="C43" s="53" t="str">
        <x:f>'總表'!D68</x:f>
        <x:v>富則通訊處</x:v>
      </x:c>
      <x:c r="D43" s="52" t="str">
        <x:f>'總表'!E68</x:f>
        <x:v>男</x:v>
      </x:c>
      <x:c r="E43" s="52" t="str">
        <x:f>'總表'!A68</x:f>
        <x:v>32</x:v>
      </x:c>
      <x:c r="F43" s="52" t="str">
        <x:f>'總表'!B68</x:f>
        <x:v>64</x:v>
      </x:c>
      <x:c r="G43" s="52" t="str">
        <x:f>IF('總表'!F68="","",'總表'!F68)</x:f>
      </x:c>
      <x:c r="H43" s="52" t="str">
        <x:f>IF('總表'!G68="","",'總表'!G68)</x:f>
      </x:c>
    </x:row>
    <x:row r="44">
      <x:c r="A44" s="52" t="str">
        <x:f>'總表'!H89</x:f>
        <x:v>第4桌</x:v>
      </x:c>
      <x:c r="B44" s="53" t="str">
        <x:f>'總表'!C89</x:f>
        <x:v>吳修毅</x:v>
      </x:c>
      <x:c r="C44" s="53" t="str">
        <x:f>'總表'!D89</x:f>
        <x:v>富吳通訊處</x:v>
      </x:c>
      <x:c r="D44" s="52" t="str">
        <x:f>'總表'!E89</x:f>
        <x:v>男</x:v>
      </x:c>
      <x:c r="E44" s="52" t="str">
        <x:f>'總表'!A89</x:f>
        <x:v>44</x:v>
      </x:c>
      <x:c r="F44" s="52" t="n">
        <x:f>'總表'!B89</x:f>
        <x:v>85</x:v>
      </x:c>
      <x:c r="G44" s="52" t="str">
        <x:f>IF('總表'!F89="","",'總表'!F89)</x:f>
      </x:c>
      <x:c r="H44" s="52" t="str">
        <x:f>IF('總表'!G89="","",'總表'!G89)</x:f>
      </x:c>
    </x:row>
    <x:row r="45">
      <x:c r="A45" s="52" t="str">
        <x:f>'總表'!H47</x:f>
        <x:v>第5桌</x:v>
      </x:c>
      <x:c r="B45" s="53" t="str">
        <x:f>'總表'!C47</x:f>
        <x:v>管卓鈞</x:v>
      </x:c>
      <x:c r="C45" s="53" t="str">
        <x:f>'總表'!D47</x:f>
        <x:v>富能通訊處</x:v>
      </x:c>
      <x:c r="D45" s="52" t="str">
        <x:f>'總表'!E47</x:f>
        <x:v>女</x:v>
      </x:c>
      <x:c r="E45" s="52" t="str">
        <x:f>'總表'!A47</x:f>
        <x:v>22</x:v>
      </x:c>
      <x:c r="F45" s="52" t="str">
        <x:f>'總表'!B47</x:f>
        <x:v>43</x:v>
      </x:c>
      <x:c r="G45" s="52" t="str">
        <x:f>IF('總表'!F47="","",'總表'!F47)</x:f>
      </x:c>
      <x:c r="H45" s="52" t="str">
        <x:f>IF('總表'!G47="","",'總表'!G47)</x:f>
      </x:c>
    </x:row>
    <x:row r="46">
      <x:c r="A46" s="52" t="str">
        <x:f>'總表'!H49</x:f>
        <x:v>第5桌</x:v>
      </x:c>
      <x:c r="B46" s="53" t="str">
        <x:f>'總表'!C49</x:f>
        <x:v>簡姵萱</x:v>
      </x:c>
      <x:c r="C46" s="53" t="str">
        <x:f>'總表'!D49</x:f>
        <x:v>富能通訊處</x:v>
      </x:c>
      <x:c r="D46" s="52" t="str">
        <x:f>'總表'!E49</x:f>
        <x:v>女</x:v>
      </x:c>
      <x:c r="E46" s="52" t="str">
        <x:f>'總表'!A49</x:f>
        <x:v>23</x:v>
      </x:c>
      <x:c r="F46" s="52" t="str">
        <x:f>'總表'!B49</x:f>
        <x:v>45</x:v>
      </x:c>
      <x:c r="G46" s="52" t="str">
        <x:f>IF('總表'!F49="","",'總表'!F49)</x:f>
      </x:c>
      <x:c r="H46" s="52" t="str">
        <x:f>IF('總表'!G49="","",'總表'!G49)</x:f>
      </x:c>
    </x:row>
    <x:row r="47">
      <x:c r="A47" s="52" t="str">
        <x:f>'總表'!H50</x:f>
        <x:v>第5桌</x:v>
      </x:c>
      <x:c r="B47" s="53" t="str">
        <x:f>'總表'!C50</x:f>
        <x:v>潘韻竹</x:v>
      </x:c>
      <x:c r="C47" s="53" t="str">
        <x:f>'總表'!D50</x:f>
        <x:v>富則通訊處</x:v>
      </x:c>
      <x:c r="D47" s="52" t="str">
        <x:f>'總表'!E50</x:f>
        <x:v>女</x:v>
      </x:c>
      <x:c r="E47" s="52" t="str">
        <x:f>'總表'!A50</x:f>
        <x:v>23</x:v>
      </x:c>
      <x:c r="F47" s="52" t="str">
        <x:f>'總表'!B50</x:f>
        <x:v>46</x:v>
      </x:c>
      <x:c r="G47" s="52" t="str">
        <x:f>IF('總表'!F50="","",'總表'!F50)</x:f>
      </x:c>
      <x:c r="H47" s="52" t="str">
        <x:f>IF('總表'!G50="","",'總表'!G50)</x:f>
      </x:c>
    </x:row>
    <x:row r="48">
      <x:c r="A48" s="52" t="str">
        <x:f>'總表'!H55</x:f>
        <x:v>第5桌</x:v>
      </x:c>
      <x:c r="B48" s="53" t="str">
        <x:f>'總表'!C55</x:f>
        <x:v>顏明儀</x:v>
      </x:c>
      <x:c r="C48" s="53" t="str">
        <x:f>'總表'!D55</x:f>
        <x:v>富則通訊處</x:v>
      </x:c>
      <x:c r="D48" s="52" t="str">
        <x:f>'總表'!E55</x:f>
        <x:v>女</x:v>
      </x:c>
      <x:c r="E48" s="52" t="str">
        <x:f>'總表'!A55</x:f>
        <x:v>26</x:v>
      </x:c>
      <x:c r="F48" s="52" t="str">
        <x:f>'總表'!B55</x:f>
        <x:v>51</x:v>
      </x:c>
      <x:c r="G48" s="52" t="str">
        <x:f>IF('總表'!F55="","",'總表'!F55)</x:f>
      </x:c>
      <x:c r="H48" s="52" t="str">
        <x:f>IF('總表'!G55="","",'總表'!G55)</x:f>
      </x:c>
    </x:row>
    <x:row r="49">
      <x:c r="A49" s="52" t="str">
        <x:f>'總表'!H56</x:f>
        <x:v>第5桌</x:v>
      </x:c>
      <x:c r="B49" s="53" t="str">
        <x:f>'總表'!C56</x:f>
        <x:v>王思嵐</x:v>
      </x:c>
      <x:c r="C49" s="53" t="str">
        <x:f>'總表'!D56</x:f>
        <x:v>富則通訊處</x:v>
      </x:c>
      <x:c r="D49" s="52" t="str">
        <x:f>'總表'!E56</x:f>
        <x:v>女</x:v>
      </x:c>
      <x:c r="E49" s="52" t="str">
        <x:f>'總表'!A56</x:f>
        <x:v>26</x:v>
      </x:c>
      <x:c r="F49" s="52" t="str">
        <x:f>'總表'!B56</x:f>
        <x:v>52</x:v>
      </x:c>
      <x:c r="G49" s="52" t="str">
        <x:f>IF('總表'!F56="","",'總表'!F56)</x:f>
      </x:c>
      <x:c r="H49" s="52" t="str">
        <x:f>IF('總表'!G56="","",'總表'!G56)</x:f>
      </x:c>
    </x:row>
    <x:row r="50">
      <x:c r="A50" s="52" t="str">
        <x:f>'總表'!H79</x:f>
        <x:v>第5桌</x:v>
      </x:c>
      <x:c r="B50" s="53" t="str">
        <x:f>'總表'!C79</x:f>
        <x:v>陳龍生</x:v>
      </x:c>
      <x:c r="C50" s="53" t="str">
        <x:f>'總表'!D79</x:f>
        <x:v>富鑽通訊處</x:v>
      </x:c>
      <x:c r="D50" s="52" t="str">
        <x:f>'總表'!E79</x:f>
        <x:v>男</x:v>
      </x:c>
      <x:c r="E50" s="52" t="str">
        <x:f>'總表'!A79</x:f>
        <x:v>38</x:v>
      </x:c>
      <x:c r="F50" s="52" t="str">
        <x:f>'總表'!B79</x:f>
        <x:v>75</x:v>
      </x:c>
      <x:c r="G50" s="52" t="str">
        <x:f>IF('總表'!F79="","",'總表'!F79)</x:f>
      </x:c>
      <x:c r="H50" s="52" t="str">
        <x:f>IF('總表'!G79="","",'總表'!G79)</x:f>
      </x:c>
    </x:row>
    <x:row r="51">
      <x:c r="A51" s="52" t="str">
        <x:f>'總表'!H80</x:f>
        <x:v>第5桌</x:v>
      </x:c>
      <x:c r="B51" s="53" t="str">
        <x:f>'總表'!C80</x:f>
        <x:v>葉金玲</x:v>
      </x:c>
      <x:c r="C51" s="53" t="str">
        <x:f>'總表'!D80</x:f>
        <x:v>富鑽通訊處</x:v>
      </x:c>
      <x:c r="D51" s="52" t="str">
        <x:f>'總表'!E80</x:f>
        <x:v>女</x:v>
      </x:c>
      <x:c r="E51" s="52" t="str">
        <x:f>'總表'!A80</x:f>
        <x:v>38</x:v>
      </x:c>
      <x:c r="F51" s="52" t="str">
        <x:f>'總表'!B80</x:f>
        <x:v>76</x:v>
      </x:c>
      <x:c r="G51" s="52" t="str">
        <x:f>IF('總表'!F80="","",'總表'!F80)</x:f>
      </x:c>
      <x:c r="H51" s="52" t="str">
        <x:f>IF('總表'!G80="","",'總表'!G80)</x:f>
      </x:c>
    </x:row>
    <x:row r="52">
      <x:c r="A52" s="52" t="str">
        <x:f>'總表'!H81</x:f>
        <x:v>第5桌</x:v>
      </x:c>
      <x:c r="B52" s="53" t="str">
        <x:f>'總表'!C81</x:f>
        <x:v>吳士侃</x:v>
      </x:c>
      <x:c r="C52" s="53" t="str">
        <x:f>'總表'!D81</x:f>
        <x:v>富北通訊處</x:v>
      </x:c>
      <x:c r="D52" s="52" t="str">
        <x:f>'總表'!E81</x:f>
        <x:v>男</x:v>
      </x:c>
      <x:c r="E52" s="52" t="str">
        <x:f>'總表'!A81</x:f>
        <x:v>39</x:v>
      </x:c>
      <x:c r="F52" s="52" t="str">
        <x:f>'總表'!B81</x:f>
        <x:v>77</x:v>
      </x:c>
      <x:c r="G52" s="52" t="str">
        <x:f>IF('總表'!F81="","",'總表'!F81)</x:f>
      </x:c>
      <x:c r="H52" s="52" t="str">
        <x:f>IF('總表'!G81="","",'總表'!G81)</x:f>
      </x:c>
    </x:row>
    <x:row r="53">
      <x:c r="A53" s="52" t="str">
        <x:f>'總表'!H82</x:f>
        <x:v>第5桌</x:v>
      </x:c>
      <x:c r="B53" s="53" t="str">
        <x:f>'總表'!C82</x:f>
        <x:v>林瑋</x:v>
      </x:c>
      <x:c r="C53" s="53" t="str">
        <x:f>'總表'!D82</x:f>
        <x:v>富北通訊處</x:v>
      </x:c>
      <x:c r="D53" s="52" t="str">
        <x:f>'總表'!E82</x:f>
        <x:v>男</x:v>
      </x:c>
      <x:c r="E53" s="52" t="str">
        <x:f>'總表'!A82</x:f>
        <x:v>39</x:v>
      </x:c>
      <x:c r="F53" s="52" t="str">
        <x:f>'總表'!B82</x:f>
        <x:v>78</x:v>
      </x:c>
      <x:c r="G53" s="52" t="str">
        <x:f>IF('總表'!F82="","",'總表'!F82)</x:f>
      </x:c>
      <x:c r="H53" s="52" t="str">
        <x:f>IF('總表'!G82="","",'總表'!G82)</x:f>
      </x:c>
    </x:row>
    <x:row r="54">
      <x:c r="A54" s="52" t="str">
        <x:f>'總表'!H17</x:f>
        <x:v>第6桌</x:v>
      </x:c>
      <x:c r="B54" s="53" t="str">
        <x:f>'總表'!C17</x:f>
        <x:v>陳武均</x:v>
      </x:c>
      <x:c r="C54" s="53" t="str">
        <x:f>'總表'!D17</x:f>
        <x:v>富予二通訊處</x:v>
      </x:c>
      <x:c r="D54" s="52" t="str">
        <x:f>'總表'!E17</x:f>
        <x:v>男</x:v>
      </x:c>
      <x:c r="E54" s="52" t="str">
        <x:f>'總表'!A17</x:f>
        <x:v>7</x:v>
      </x:c>
      <x:c r="F54" s="52" t="str">
        <x:f>'總表'!B17</x:f>
        <x:v>13</x:v>
      </x:c>
      <x:c r="G54" s="52" t="str">
        <x:f>IF('總表'!F17="","",'總表'!F17)</x:f>
      </x:c>
      <x:c r="H54" s="52" t="str">
        <x:f>IF('總表'!G17="","",'總表'!G17)</x:f>
      </x:c>
    </x:row>
    <x:row r="55">
      <x:c r="A55" s="52" t="str">
        <x:f>'總表'!H18</x:f>
        <x:v>第6桌</x:v>
      </x:c>
      <x:c r="B55" s="53" t="str">
        <x:f>'總表'!C18</x:f>
        <x:v>陳尚禾</x:v>
      </x:c>
      <x:c r="C55" s="53" t="str">
        <x:f>'總表'!D18</x:f>
        <x:v>富予二通訊處</x:v>
      </x:c>
      <x:c r="D55" s="52" t="str">
        <x:f>'總表'!E18</x:f>
        <x:v>男</x:v>
      </x:c>
      <x:c r="E55" s="52" t="str">
        <x:f>'總表'!A18</x:f>
        <x:v>7</x:v>
      </x:c>
      <x:c r="F55" s="52" t="str">
        <x:f>'總表'!B18</x:f>
        <x:v>14</x:v>
      </x:c>
      <x:c r="G55" s="52" t="str">
        <x:f>IF('總表'!F18="","",'總表'!F18)</x:f>
      </x:c>
      <x:c r="H55" s="52" t="str">
        <x:f>IF('總表'!G18="","",'總表'!G18)</x:f>
      </x:c>
    </x:row>
    <x:row r="56">
      <x:c r="A56" s="52" t="str">
        <x:f>'總表'!H19</x:f>
        <x:v>第6桌</x:v>
      </x:c>
      <x:c r="B56" s="53" t="str">
        <x:f>'總表'!C19</x:f>
        <x:v>陳昶聿</x:v>
      </x:c>
      <x:c r="C56" s="53" t="str">
        <x:f>'總表'!D19</x:f>
        <x:v>富予二通訊處</x:v>
      </x:c>
      <x:c r="D56" s="52" t="str">
        <x:f>'總表'!E19</x:f>
        <x:v>男</x:v>
      </x:c>
      <x:c r="E56" s="52" t="str">
        <x:f>'總表'!A19</x:f>
        <x:v>8</x:v>
      </x:c>
      <x:c r="F56" s="52" t="str">
        <x:f>'總表'!B19</x:f>
        <x:v>15</x:v>
      </x:c>
      <x:c r="G56" s="52" t="str">
        <x:f>IF('總表'!F19="","",'總表'!F19)</x:f>
      </x:c>
      <x:c r="H56" s="52" t="str">
        <x:f>IF('總表'!G19="","",'總表'!G19)</x:f>
      </x:c>
    </x:row>
    <x:row r="57">
      <x:c r="A57" s="52" t="str">
        <x:f>'總表'!H20</x:f>
        <x:v>第6桌</x:v>
      </x:c>
      <x:c r="B57" s="53" t="str">
        <x:f>'總表'!C20</x:f>
        <x:v>宋里安</x:v>
      </x:c>
      <x:c r="C57" s="53" t="str">
        <x:f>'總表'!D20</x:f>
        <x:v>富予二通訊處</x:v>
      </x:c>
      <x:c r="D57" s="52" t="str">
        <x:f>'總表'!E20</x:f>
        <x:v>男</x:v>
      </x:c>
      <x:c r="E57" s="52" t="str">
        <x:f>'總表'!A20</x:f>
        <x:v>8</x:v>
      </x:c>
      <x:c r="F57" s="52" t="str">
        <x:f>'總表'!B20</x:f>
        <x:v>16</x:v>
      </x:c>
      <x:c r="G57" s="52" t="str">
        <x:f>IF('總表'!F20="","",'總表'!F20)</x:f>
      </x:c>
      <x:c r="H57" s="52" t="str">
        <x:f>IF('總表'!G20="","",'總表'!G20)</x:f>
      </x:c>
    </x:row>
    <x:row r="58">
      <x:c r="A58" s="52" t="str">
        <x:f>'總表'!H21</x:f>
        <x:v>第6桌</x:v>
      </x:c>
      <x:c r="B58" s="53" t="str">
        <x:f>'總表'!C21</x:f>
        <x:v>賴芯甯</x:v>
      </x:c>
      <x:c r="C58" s="53" t="str">
        <x:f>'總表'!D21</x:f>
        <x:v>富予二通訊處</x:v>
      </x:c>
      <x:c r="D58" s="52" t="str">
        <x:f>'總表'!E21</x:f>
        <x:v>女</x:v>
      </x:c>
      <x:c r="E58" s="52" t="str">
        <x:f>'總表'!A21</x:f>
        <x:v>9</x:v>
      </x:c>
      <x:c r="F58" s="52" t="str">
        <x:f>'總表'!B21</x:f>
        <x:v>17</x:v>
      </x:c>
      <x:c r="G58" s="52" t="str">
        <x:f>IF('總表'!F21="","",'總表'!F21)</x:f>
      </x:c>
      <x:c r="H58" s="52" t="str">
        <x:f>IF('總表'!G21="","",'總表'!G21)</x:f>
      </x:c>
    </x:row>
    <x:row r="59">
      <x:c r="A59" s="52" t="str">
        <x:f>'總表'!H22</x:f>
        <x:v>第6桌</x:v>
      </x:c>
      <x:c r="B59" s="53" t="str">
        <x:f>'總表'!C22</x:f>
        <x:v>高泰琳</x:v>
      </x:c>
      <x:c r="C59" s="53" t="str">
        <x:f>'總表'!D22</x:f>
        <x:v>富予二通訊處</x:v>
      </x:c>
      <x:c r="D59" s="52" t="str">
        <x:f>'總表'!E22</x:f>
        <x:v>女</x:v>
      </x:c>
      <x:c r="E59" s="52" t="str">
        <x:f>'總表'!A22</x:f>
        <x:v>9</x:v>
      </x:c>
      <x:c r="F59" s="52" t="str">
        <x:f>'總表'!B22</x:f>
        <x:v>18</x:v>
      </x:c>
      <x:c r="G59" s="52" t="str">
        <x:f>IF('總表'!F22="","",'總表'!F22)</x:f>
      </x:c>
      <x:c r="H59" s="52" t="str">
        <x:f>IF('總表'!G22="","",'總表'!G22)</x:f>
      </x:c>
    </x:row>
    <x:row r="60">
      <x:c r="A60" s="52" t="str">
        <x:f>'總表'!H23</x:f>
        <x:v>第6桌</x:v>
      </x:c>
      <x:c r="B60" s="53" t="str">
        <x:f>'總表'!C23</x:f>
        <x:v>許瓊云</x:v>
      </x:c>
      <x:c r="C60" s="53" t="str">
        <x:f>'總表'!D23</x:f>
        <x:v>富予二通訊處</x:v>
      </x:c>
      <x:c r="D60" s="52" t="str">
        <x:f>'總表'!E23</x:f>
        <x:v>女</x:v>
      </x:c>
      <x:c r="E60" s="52" t="str">
        <x:f>'總表'!A23</x:f>
        <x:v>10</x:v>
      </x:c>
      <x:c r="F60" s="52" t="str">
        <x:f>'總表'!B23</x:f>
        <x:v>19</x:v>
      </x:c>
      <x:c r="G60" s="52" t="str">
        <x:f>IF('總表'!F23="","",'總表'!F23)</x:f>
      </x:c>
      <x:c r="H60" s="52" t="str">
        <x:f>IF('總表'!G23="","",'總表'!G23)</x:f>
      </x:c>
    </x:row>
    <x:row r="61">
      <x:c r="A61" s="52" t="str">
        <x:f>'總表'!H83</x:f>
        <x:v>第6桌</x:v>
      </x:c>
      <x:c r="B61" s="53" t="str">
        <x:f>'總表'!C83</x:f>
        <x:v>曾翊雯</x:v>
      </x:c>
      <x:c r="C61" s="53" t="str">
        <x:f>'總表'!D83</x:f>
        <x:v>中沐通訊處</x:v>
      </x:c>
      <x:c r="D61" s="52" t="str">
        <x:f>'總表'!E83</x:f>
        <x:v>女</x:v>
      </x:c>
      <x:c r="E61" s="52" t="str">
        <x:f>'總表'!A83</x:f>
        <x:v>40</x:v>
      </x:c>
      <x:c r="F61" s="52" t="str">
        <x:f>'總表'!B83</x:f>
        <x:v>79</x:v>
      </x:c>
      <x:c r="G61" s="52" t="str">
        <x:f>IF('總表'!F83="","",'總表'!F83)</x:f>
      </x:c>
      <x:c r="H61" s="52" t="str">
        <x:f>IF('總表'!G83="","",'總表'!G83)</x:f>
      </x:c>
    </x:row>
    <x:row r="62">
      <x:c r="A62" s="52" t="str">
        <x:f>'總表'!H84</x:f>
        <x:v>第6桌</x:v>
      </x:c>
      <x:c r="B62" s="53" t="str">
        <x:f>'總表'!C84</x:f>
        <x:v>王原軍</x:v>
      </x:c>
      <x:c r="C62" s="53" t="str">
        <x:f>'總表'!D84</x:f>
        <x:v>中沐通訊處</x:v>
      </x:c>
      <x:c r="D62" s="52" t="str">
        <x:f>'總表'!E84</x:f>
        <x:v>男</x:v>
      </x:c>
      <x:c r="E62" s="52" t="str">
        <x:f>'總表'!A84</x:f>
        <x:v>40</x:v>
      </x:c>
      <x:c r="F62" s="52" t="str">
        <x:f>'總表'!B84</x:f>
        <x:v>80</x:v>
      </x:c>
      <x:c r="G62" s="52" t="str">
        <x:f>IF('總表'!F84="","",'總表'!F84)</x:f>
      </x:c>
      <x:c r="H62" s="52" t="str">
        <x:f>IF('總表'!G84="","",'總表'!G84)</x:f>
      </x:c>
    </x:row>
    <x:row r="63">
      <x:c r="A63" s="52" t="str">
        <x:f>'總表'!H46</x:f>
        <x:v>第7桌</x:v>
      </x:c>
      <x:c r="B63" s="53" t="str">
        <x:f>'總表'!C46</x:f>
        <x:v>王昱文</x:v>
      </x:c>
      <x:c r="C63" s="53" t="str">
        <x:f>'總表'!D46</x:f>
        <x:v>富則通訊處</x:v>
      </x:c>
      <x:c r="D63" s="52" t="str">
        <x:f>'總表'!E46</x:f>
        <x:v>男</x:v>
      </x:c>
      <x:c r="E63" s="52" t="str">
        <x:f>'總表'!A46</x:f>
        <x:v>21</x:v>
      </x:c>
      <x:c r="F63" s="52" t="str">
        <x:f>'總表'!B46</x:f>
        <x:v>42</x:v>
      </x:c>
      <x:c r="G63" s="52" t="str">
        <x:f>IF('總表'!F46="","",'總表'!F46)</x:f>
      </x:c>
      <x:c r="H63" s="52" t="str">
        <x:f>IF('總表'!G46="","",'總表'!G46)</x:f>
      </x:c>
    </x:row>
    <x:row r="64">
      <x:c r="A64" s="52" t="str">
        <x:f>'總表'!H48</x:f>
        <x:v>第7桌</x:v>
      </x:c>
      <x:c r="B64" s="53" t="str">
        <x:f>'總表'!C48</x:f>
        <x:v>林桂安</x:v>
      </x:c>
      <x:c r="C64" s="53" t="str">
        <x:f>'總表'!D48</x:f>
        <x:v>富則通訊處</x:v>
      </x:c>
      <x:c r="D64" s="52" t="str">
        <x:f>'總表'!E48</x:f>
        <x:v>女</x:v>
      </x:c>
      <x:c r="E64" s="52" t="str">
        <x:f>'總表'!A48</x:f>
        <x:v>22</x:v>
      </x:c>
      <x:c r="F64" s="52" t="str">
        <x:f>'總表'!B48</x:f>
        <x:v>44</x:v>
      </x:c>
      <x:c r="G64" s="52" t="str">
        <x:f>IF('總表'!F48="","",'總表'!F48)</x:f>
      </x:c>
      <x:c r="H64" s="52" t="str">
        <x:f>IF('總表'!G48="","",'總表'!G48)</x:f>
      </x:c>
    </x:row>
    <x:row r="65">
      <x:c r="A65" s="52" t="str">
        <x:f>'總表'!H58</x:f>
        <x:v>第7桌</x:v>
      </x:c>
      <x:c r="B65" s="53" t="str">
        <x:f>'總表'!C58</x:f>
        <x:v>林芳誼</x:v>
      </x:c>
      <x:c r="C65" s="53" t="str">
        <x:f>'總表'!D58</x:f>
        <x:v>富則通訊處</x:v>
      </x:c>
      <x:c r="D65" s="52" t="str">
        <x:f>'總表'!E58</x:f>
        <x:v>女</x:v>
      </x:c>
      <x:c r="E65" s="52" t="str">
        <x:f>'總表'!A58</x:f>
        <x:v>27</x:v>
      </x:c>
      <x:c r="F65" s="52" t="str">
        <x:f>'總表'!B58</x:f>
        <x:v>54</x:v>
      </x:c>
      <x:c r="G65" s="52" t="str">
        <x:f>IF('總表'!F58="","",'總表'!F58)</x:f>
      </x:c>
      <x:c r="H65" s="52" t="str">
        <x:f>IF('總表'!G58="","",'總表'!G58)</x:f>
      </x:c>
    </x:row>
    <x:row r="66">
      <x:c r="A66" s="52" t="str">
        <x:f>'總表'!H61</x:f>
        <x:v>第7桌</x:v>
      </x:c>
      <x:c r="B66" s="53" t="str">
        <x:f>'總表'!C61</x:f>
        <x:v>吳沛錞</x:v>
      </x:c>
      <x:c r="C66" s="53" t="str">
        <x:f>'總表'!D61</x:f>
        <x:v>富則通訊處</x:v>
      </x:c>
      <x:c r="D66" s="52" t="str">
        <x:f>'總表'!E61</x:f>
        <x:v>女</x:v>
      </x:c>
      <x:c r="E66" s="52" t="str">
        <x:f>'總表'!A61</x:f>
        <x:v>29</x:v>
      </x:c>
      <x:c r="F66" s="52" t="str">
        <x:f>'總表'!B61</x:f>
        <x:v>57</x:v>
      </x:c>
      <x:c r="G66" s="52" t="str">
        <x:f>IF('總表'!F61="","",'總表'!F61)</x:f>
      </x:c>
      <x:c r="H66" s="52" t="str">
        <x:f>IF('總表'!G61="","",'總表'!G61)</x:f>
      </x:c>
    </x:row>
    <x:row r="67">
      <x:c r="A67" s="52" t="str">
        <x:f>'總表'!H62</x:f>
        <x:v>第7桌</x:v>
      </x:c>
      <x:c r="B67" s="53" t="str">
        <x:f>'總表'!C62</x:f>
        <x:v>李婕詠</x:v>
      </x:c>
      <x:c r="C67" s="53" t="str">
        <x:f>'總表'!D62</x:f>
        <x:v>富則通訊處</x:v>
      </x:c>
      <x:c r="D67" s="52" t="str">
        <x:f>'總表'!E62</x:f>
        <x:v>女</x:v>
      </x:c>
      <x:c r="E67" s="52" t="str">
        <x:f>'總表'!A62</x:f>
        <x:v>29</x:v>
      </x:c>
      <x:c r="F67" s="52" t="str">
        <x:f>'總表'!B62</x:f>
        <x:v>58</x:v>
      </x:c>
      <x:c r="G67" s="52" t="str">
        <x:f>IF('總表'!F62="","",'總表'!F62)</x:f>
      </x:c>
      <x:c r="H67" s="52" t="str">
        <x:f>IF('總表'!G62="","",'總表'!G62)</x:f>
      </x:c>
    </x:row>
    <x:row r="68">
      <x:c r="A68" s="52" t="str">
        <x:f>'總表'!H64</x:f>
        <x:v>第7桌</x:v>
      </x:c>
      <x:c r="B68" s="53" t="str">
        <x:f>'總表'!C64</x:f>
        <x:v>黃馨葦</x:v>
      </x:c>
      <x:c r="C68" s="53" t="str">
        <x:f>'總表'!D64</x:f>
        <x:v>富則通訊處</x:v>
      </x:c>
      <x:c r="D68" s="52" t="str">
        <x:f>'總表'!E64</x:f>
        <x:v>女</x:v>
      </x:c>
      <x:c r="E68" s="52" t="str">
        <x:f>'總表'!A64</x:f>
        <x:v>30</x:v>
      </x:c>
      <x:c r="F68" s="52" t="str">
        <x:f>'總表'!B64</x:f>
        <x:v>60</x:v>
      </x:c>
      <x:c r="G68" s="52" t="str">
        <x:f>IF('總表'!F64="","",'總表'!F64)</x:f>
      </x:c>
      <x:c r="H68" s="52" t="str">
        <x:f>IF('總表'!G64="","",'總表'!G64)</x:f>
      </x:c>
    </x:row>
    <x:row r="69">
      <x:c r="A69" s="52" t="str">
        <x:f>'總表'!H69</x:f>
        <x:v>第7桌</x:v>
      </x:c>
      <x:c r="B69" s="53" t="str">
        <x:f>'總表'!C69</x:f>
        <x:v>洪敬忠</x:v>
      </x:c>
      <x:c r="C69" s="53" t="str">
        <x:f>'總表'!D69</x:f>
        <x:v>富則六通訊處</x:v>
      </x:c>
      <x:c r="D69" s="52" t="str">
        <x:f>'總表'!E69</x:f>
        <x:v>男</x:v>
      </x:c>
      <x:c r="E69" s="52" t="str">
        <x:f>'總表'!A69</x:f>
        <x:v>33</x:v>
      </x:c>
      <x:c r="F69" s="52" t="str">
        <x:f>'總表'!B69</x:f>
        <x:v>65</x:v>
      </x:c>
      <x:c r="G69" s="52" t="str">
        <x:f>IF('總表'!F69="","",'總表'!F69)</x:f>
      </x:c>
      <x:c r="H69" s="52" t="str">
        <x:f>IF('總表'!G69="","",'總表'!G69)</x:f>
      </x:c>
    </x:row>
    <x:row r="70">
      <x:c r="A70" s="52" t="str">
        <x:f>'總表'!H70</x:f>
        <x:v>第7桌</x:v>
      </x:c>
      <x:c r="B70" s="53" t="str">
        <x:f>'總表'!C70</x:f>
        <x:v>廖宇翔</x:v>
      </x:c>
      <x:c r="C70" s="53" t="str">
        <x:f>'總表'!D70</x:f>
        <x:v>富則六通訊處</x:v>
      </x:c>
      <x:c r="D70" s="52" t="str">
        <x:f>'總表'!E70</x:f>
        <x:v>男</x:v>
      </x:c>
      <x:c r="E70" s="52" t="str">
        <x:f>'總表'!A70</x:f>
        <x:v>33</x:v>
      </x:c>
      <x:c r="F70" s="52" t="str">
        <x:f>'總表'!B70</x:f>
        <x:v>66</x:v>
      </x:c>
      <x:c r="G70" s="52" t="str">
        <x:f>IF('總表'!F70="","",'總表'!F70)</x:f>
      </x:c>
      <x:c r="H70" s="52" t="str">
        <x:f>IF('總表'!G70="","",'總表'!G70)</x:f>
      </x:c>
    </x:row>
    <x:row r="71">
      <x:c r="A71" s="52" t="str">
        <x:f>'總表'!H24</x:f>
        <x:v>第8桌</x:v>
      </x:c>
      <x:c r="B71" s="53" t="str">
        <x:f>'總表'!C24</x:f>
        <x:v>王姵慈</x:v>
      </x:c>
      <x:c r="C71" s="53" t="str">
        <x:f>'總表'!D24</x:f>
        <x:v>富吳通訊處</x:v>
      </x:c>
      <x:c r="D71" s="52" t="str">
        <x:f>'總表'!E24</x:f>
        <x:v>女</x:v>
      </x:c>
      <x:c r="E71" s="52" t="str">
        <x:f>'總表'!A24</x:f>
        <x:v>10</x:v>
      </x:c>
      <x:c r="F71" s="52" t="str">
        <x:f>'總表'!B24</x:f>
        <x:v>20</x:v>
      </x:c>
      <x:c r="G71" s="52" t="str">
        <x:f>IF('總表'!F24="","",'總表'!F24)</x:f>
      </x:c>
      <x:c r="H71" s="52" t="str">
        <x:f>IF('總表'!G24="","",'總表'!G24)</x:f>
      </x:c>
    </x:row>
    <x:row r="72">
      <x:c r="A72" s="52" t="str">
        <x:f>'總表'!H29</x:f>
        <x:v>第8桌</x:v>
      </x:c>
      <x:c r="B72" s="53" t="str">
        <x:f>'總表'!C29</x:f>
        <x:v>王騌捷</x:v>
      </x:c>
      <x:c r="C72" s="53" t="str">
        <x:f>'總表'!D29</x:f>
        <x:v>富吳通訊處</x:v>
      </x:c>
      <x:c r="D72" s="52" t="str">
        <x:f>'總表'!E29</x:f>
        <x:v>男</x:v>
      </x:c>
      <x:c r="E72" s="52" t="str">
        <x:f>'總表'!A29</x:f>
        <x:v>13</x:v>
      </x:c>
      <x:c r="F72" s="52" t="str">
        <x:f>'總表'!B29</x:f>
        <x:v>25</x:v>
      </x:c>
      <x:c r="G72" s="52" t="str">
        <x:f>IF('總表'!F29="","",'總表'!F29)</x:f>
      </x:c>
      <x:c r="H72" s="52" t="str">
        <x:f>IF('總表'!G29="","",'總表'!G29)</x:f>
      </x:c>
    </x:row>
    <x:row r="73">
      <x:c r="A73" s="52" t="str">
        <x:f>'總表'!H36</x:f>
        <x:v>第8桌</x:v>
      </x:c>
      <x:c r="B73" s="53" t="str">
        <x:f>'總表'!C36</x:f>
        <x:v>林建璋</x:v>
      </x:c>
      <x:c r="C73" s="53" t="str">
        <x:f>'總表'!D36</x:f>
        <x:v>富吳通訊處</x:v>
      </x:c>
      <x:c r="D73" s="52" t="str">
        <x:f>'總表'!E36</x:f>
        <x:v>男</x:v>
      </x:c>
      <x:c r="E73" s="52" t="str">
        <x:f>'總表'!A36</x:f>
        <x:v>16</x:v>
      </x:c>
      <x:c r="F73" s="52" t="str">
        <x:f>'總表'!B36</x:f>
        <x:v>32</x:v>
      </x:c>
      <x:c r="G73" s="52" t="str">
        <x:f>IF('總表'!F36="","",'總表'!F36)</x:f>
      </x:c>
      <x:c r="H73" s="52" t="str">
        <x:f>IF('總表'!G36="","",'總表'!G36)</x:f>
      </x:c>
    </x:row>
    <x:row r="74">
      <x:c r="A74" s="52" t="str">
        <x:f>'總表'!H37</x:f>
        <x:v>第8桌</x:v>
      </x:c>
      <x:c r="B74" s="53" t="str">
        <x:f>'總表'!C37</x:f>
        <x:v>李奕寬</x:v>
      </x:c>
      <x:c r="C74" s="53" t="str">
        <x:f>'總表'!D37</x:f>
        <x:v>富吳通訊處</x:v>
      </x:c>
      <x:c r="D74" s="52" t="str">
        <x:f>'總表'!E37</x:f>
        <x:v>男</x:v>
      </x:c>
      <x:c r="E74" s="52" t="str">
        <x:f>'總表'!A37</x:f>
        <x:v>17</x:v>
      </x:c>
      <x:c r="F74" s="52" t="str">
        <x:f>'總表'!B37</x:f>
        <x:v>33</x:v>
      </x:c>
      <x:c r="G74" s="52" t="str">
        <x:f>IF('總表'!F37="","",'總表'!F37)</x:f>
      </x:c>
      <x:c r="H74" s="52" t="str">
        <x:f>IF('總表'!G37="","",'總表'!G37)</x:f>
      </x:c>
    </x:row>
    <x:row r="75">
      <x:c r="A75" s="52" t="str">
        <x:f>'總表'!H38</x:f>
        <x:v>第8桌</x:v>
      </x:c>
      <x:c r="B75" s="53" t="str">
        <x:f>'總表'!C38</x:f>
        <x:v>黃彥融</x:v>
      </x:c>
      <x:c r="C75" s="53" t="str">
        <x:f>'總表'!D38</x:f>
        <x:v>富吳通訊處</x:v>
      </x:c>
      <x:c r="D75" s="52" t="str">
        <x:f>'總表'!E38</x:f>
        <x:v>男</x:v>
      </x:c>
      <x:c r="E75" s="52" t="str">
        <x:f>'總表'!A38</x:f>
        <x:v>17</x:v>
      </x:c>
      <x:c r="F75" s="52" t="str">
        <x:f>'總表'!B38</x:f>
        <x:v>34</x:v>
      </x:c>
      <x:c r="G75" s="52" t="str">
        <x:f>IF('總表'!F38="","",'總表'!F38)</x:f>
      </x:c>
      <x:c r="H75" s="52" t="str">
        <x:f>IF('總表'!G38="","",'總表'!G38)</x:f>
      </x:c>
    </x:row>
    <x:row r="76">
      <x:c r="A76" s="52" t="str">
        <x:f>'總表'!H41</x:f>
        <x:v>第8桌</x:v>
      </x:c>
      <x:c r="B76" s="53" t="str">
        <x:f>'總表'!C41</x:f>
        <x:v>戴孜安</x:v>
      </x:c>
      <x:c r="C76" s="53" t="str">
        <x:f>'總表'!D41</x:f>
        <x:v>富吳通訊處</x:v>
      </x:c>
      <x:c r="D76" s="52" t="str">
        <x:f>'總表'!E41</x:f>
        <x:v>女</x:v>
      </x:c>
      <x:c r="E76" s="52" t="str">
        <x:f>'總表'!A41</x:f>
        <x:v>19</x:v>
      </x:c>
      <x:c r="F76" s="52" t="str">
        <x:f>'總表'!B41</x:f>
        <x:v>37</x:v>
      </x:c>
      <x:c r="G76" s="52" t="str">
        <x:f>IF('總表'!F41="","",'總表'!F41)</x:f>
      </x:c>
      <x:c r="H76" s="52" t="str">
        <x:f>IF('總表'!G41="","",'總表'!G41)</x:f>
      </x:c>
    </x:row>
    <x:row r="77">
      <x:c r="A77" s="52" t="str">
        <x:f>'總表'!H42</x:f>
        <x:v>第8桌</x:v>
      </x:c>
      <x:c r="B77" s="53" t="str">
        <x:f>'總表'!C42</x:f>
        <x:v>徐瀚</x:v>
      </x:c>
      <x:c r="C77" s="53" t="str">
        <x:f>'總表'!D42</x:f>
        <x:v>富吳通訊處</x:v>
      </x:c>
      <x:c r="D77" s="52" t="str">
        <x:f>'總表'!E42</x:f>
        <x:v>男</x:v>
      </x:c>
      <x:c r="E77" s="52" t="str">
        <x:f>'總表'!A42</x:f>
        <x:v>19</x:v>
      </x:c>
      <x:c r="F77" s="52" t="str">
        <x:f>'總表'!B42</x:f>
        <x:v>38</x:v>
      </x:c>
      <x:c r="G77" s="52" t="str">
        <x:f>IF('總表'!F42="","",'總表'!F42)</x:f>
      </x:c>
      <x:c r="H77" s="52" t="str">
        <x:f>IF('總表'!G42="","",'總表'!G42)</x:f>
      </x:c>
    </x:row>
    <x:row r="78">
      <x:c r="A78" s="52" t="str">
        <x:f>'總表'!H43</x:f>
        <x:v>第8桌</x:v>
      </x:c>
      <x:c r="B78" s="53" t="str">
        <x:f>'總表'!C43</x:f>
        <x:v>許嘉晉</x:v>
      </x:c>
      <x:c r="C78" s="53" t="str">
        <x:f>'總表'!D43</x:f>
        <x:v>富則通訊處</x:v>
      </x:c>
      <x:c r="D78" s="52" t="str">
        <x:f>'總表'!E43</x:f>
        <x:v>男</x:v>
      </x:c>
      <x:c r="E78" s="52" t="str">
        <x:f>'總表'!A43</x:f>
        <x:v>20</x:v>
      </x:c>
      <x:c r="F78" s="52" t="str">
        <x:f>'總表'!B43</x:f>
        <x:v>39</x:v>
      </x:c>
      <x:c r="G78" s="52" t="str">
        <x:f>IF('總表'!F43="","",'總表'!F43)</x:f>
      </x:c>
      <x:c r="H78" s="52" t="str">
        <x:f>IF('總表'!G43="","",'總表'!G43)</x:f>
      </x:c>
    </x:row>
    <x:row r="79">
      <x:c r="A79" s="52" t="str">
        <x:f>'總表'!H44</x:f>
        <x:v>第8桌</x:v>
      </x:c>
      <x:c r="B79" s="53" t="str">
        <x:f>'總表'!C44</x:f>
        <x:v>侯宏詣</x:v>
      </x:c>
      <x:c r="C79" s="53" t="str">
        <x:f>'總表'!D44</x:f>
        <x:v>富則通訊處</x:v>
      </x:c>
      <x:c r="D79" s="52" t="str">
        <x:f>'總表'!E44</x:f>
        <x:v>男</x:v>
      </x:c>
      <x:c r="E79" s="52" t="str">
        <x:f>'總表'!A44</x:f>
        <x:v>20</x:v>
      </x:c>
      <x:c r="F79" s="52" t="str">
        <x:f>'總表'!B44</x:f>
        <x:v>40</x:v>
      </x:c>
      <x:c r="G79" s="52" t="str">
        <x:f>IF('總表'!F44="","",'總表'!F44)</x:f>
      </x:c>
      <x:c r="H79" s="52" t="str">
        <x:f>IF('總表'!G44="","",'總表'!G44)</x:f>
      </x:c>
    </x:row>
    <x:row r="80">
      <x:c r="A80" s="52" t="str">
        <x:f>'總表'!H88</x:f>
        <x:v>第8桌</x:v>
      </x:c>
      <x:c r="B80" s="53" t="str">
        <x:f>'總表'!C88</x:f>
        <x:v>邱仲恩</x:v>
      </x:c>
      <x:c r="C80" s="53" t="str">
        <x:f>'總表'!D88</x:f>
        <x:v>富吳通訊處</x:v>
      </x:c>
      <x:c r="D80" s="52" t="str">
        <x:f>'總表'!E88</x:f>
        <x:v>男</x:v>
      </x:c>
      <x:c r="E80" s="52" t="str">
        <x:f>'總表'!A88</x:f>
        <x:v>43</x:v>
      </x:c>
      <x:c r="F80" s="52" t="str">
        <x:f>'總表'!B88</x:f>
        <x:v>84</x:v>
      </x:c>
      <x:c r="G80" s="52" t="str">
        <x:f>IF('總表'!F88="","",'總表'!F88)</x:f>
      </x:c>
      <x:c r="H80" s="52" t="str">
        <x:f>IF('總表'!G88="","",'總表'!G88)</x:f>
      </x:c>
    </x:row>
    <x:row r="81">
      <x:c r="A81" s="52" t="str">
        <x:f>'總表'!H26</x:f>
        <x:v>第9桌</x:v>
      </x:c>
      <x:c r="B81" s="53" t="str">
        <x:f>'總表'!C26</x:f>
        <x:v>吳佩姗</x:v>
      </x:c>
      <x:c r="C81" s="53" t="str">
        <x:f>'總表'!D26</x:f>
        <x:v>富吳通訊處</x:v>
      </x:c>
      <x:c r="D81" s="52" t="str">
        <x:f>'總表'!E26</x:f>
        <x:v>女</x:v>
      </x:c>
      <x:c r="E81" s="52" t="str">
        <x:f>'總表'!A26</x:f>
        <x:v>11</x:v>
      </x:c>
      <x:c r="F81" s="52" t="str">
        <x:f>'總表'!B26</x:f>
        <x:v>22</x:v>
      </x:c>
      <x:c r="G81" s="52" t="str">
        <x:f>IF('總表'!F26="","",'總表'!F26)</x:f>
      </x:c>
      <x:c r="H81" s="52" t="str">
        <x:f>IF('總表'!G26="","",'總表'!G26)</x:f>
      </x:c>
    </x:row>
    <x:row r="82">
      <x:c r="A82" s="52" t="str">
        <x:f>'總表'!H27</x:f>
        <x:v>第9桌</x:v>
      </x:c>
      <x:c r="B82" s="53" t="str">
        <x:f>'總表'!C27</x:f>
        <x:v>王鄆郅</x:v>
      </x:c>
      <x:c r="C82" s="53" t="str">
        <x:f>'總表'!D27</x:f>
        <x:v>富吳通訊處</x:v>
      </x:c>
      <x:c r="D82" s="52" t="str">
        <x:f>'總表'!E27</x:f>
        <x:v>男</x:v>
      </x:c>
      <x:c r="E82" s="52" t="str">
        <x:f>'總表'!A27</x:f>
        <x:v>12</x:v>
      </x:c>
      <x:c r="F82" s="52" t="str">
        <x:f>'總表'!B27</x:f>
        <x:v>23</x:v>
      </x:c>
      <x:c r="G82" s="52" t="str">
        <x:f>IF('總表'!F27="","",'總表'!F27)</x:f>
      </x:c>
      <x:c r="H82" s="52" t="str">
        <x:f>IF('總表'!G27="","",'總表'!G27)</x:f>
      </x:c>
    </x:row>
    <x:row r="83">
      <x:c r="A83" s="52" t="str">
        <x:f>'總表'!H28</x:f>
        <x:v>第9桌</x:v>
      </x:c>
      <x:c r="B83" s="53" t="str">
        <x:f>'總表'!C28</x:f>
        <x:v>廖冠傑</x:v>
      </x:c>
      <x:c r="C83" s="53" t="str">
        <x:f>'總表'!D28</x:f>
        <x:v>富吳通訊處</x:v>
      </x:c>
      <x:c r="D83" s="52" t="str">
        <x:f>'總表'!E28</x:f>
        <x:v>男</x:v>
      </x:c>
      <x:c r="E83" s="52" t="str">
        <x:f>'總表'!A28</x:f>
        <x:v>12</x:v>
      </x:c>
      <x:c r="F83" s="52" t="str">
        <x:f>'總表'!B28</x:f>
        <x:v>24</x:v>
      </x:c>
      <x:c r="G83" s="52" t="str">
        <x:f>IF('總表'!F28="","",'總表'!F28)</x:f>
      </x:c>
      <x:c r="H83" s="52" t="str">
        <x:f>IF('總表'!G28="","",'總表'!G28)</x:f>
      </x:c>
    </x:row>
    <x:row r="84">
      <x:c r="A84" s="52" t="str">
        <x:f>'總表'!H30</x:f>
        <x:v>第9桌</x:v>
      </x:c>
      <x:c r="B84" s="53" t="str">
        <x:f>'總表'!C30</x:f>
        <x:v>黃金隆</x:v>
      </x:c>
      <x:c r="C84" s="53" t="str">
        <x:f>'總表'!D30</x:f>
        <x:v>富吳通訊處</x:v>
      </x:c>
      <x:c r="D84" s="52" t="str">
        <x:f>'總表'!E30</x:f>
        <x:v>男</x:v>
      </x:c>
      <x:c r="E84" s="52" t="str">
        <x:f>'總表'!A30</x:f>
        <x:v>13</x:v>
      </x:c>
      <x:c r="F84" s="52" t="str">
        <x:f>'總表'!B30</x:f>
        <x:v>26</x:v>
      </x:c>
      <x:c r="G84" s="52" t="str">
        <x:f>IF('總表'!F30="","",'總表'!F30)</x:f>
      </x:c>
      <x:c r="H84" s="52" t="str">
        <x:f>IF('總表'!G30="","",'總表'!G30)</x:f>
      </x:c>
    </x:row>
    <x:row r="85">
      <x:c r="A85" s="52" t="str">
        <x:f>'總表'!H31</x:f>
        <x:v>第9桌</x:v>
      </x:c>
      <x:c r="B85" s="53" t="str">
        <x:f>'總表'!C31</x:f>
        <x:v>呂顏伃</x:v>
      </x:c>
      <x:c r="C85" s="53" t="str">
        <x:f>'總表'!D31</x:f>
        <x:v>富吳通訊處</x:v>
      </x:c>
      <x:c r="D85" s="52" t="str">
        <x:f>'總表'!E31</x:f>
        <x:v>女</x:v>
      </x:c>
      <x:c r="E85" s="52" t="str">
        <x:f>'總表'!A31</x:f>
        <x:v>14</x:v>
      </x:c>
      <x:c r="F85" s="52" t="str">
        <x:f>'總表'!B31</x:f>
        <x:v>27</x:v>
      </x:c>
      <x:c r="G85" s="52" t="str">
        <x:f>IF('總表'!F31="","",'總表'!F31)</x:f>
      </x:c>
      <x:c r="H85" s="52" t="str">
        <x:f>IF('總表'!G31="","",'總表'!G31)</x:f>
      </x:c>
    </x:row>
    <x:row r="86">
      <x:c r="A86" s="52" t="str">
        <x:f>'總表'!H32</x:f>
        <x:v>第9桌</x:v>
      </x:c>
      <x:c r="B86" s="53" t="str">
        <x:f>'總表'!C32</x:f>
        <x:v>陳怡諳</x:v>
      </x:c>
      <x:c r="C86" s="53" t="str">
        <x:f>'總表'!D32</x:f>
        <x:v>富吳通訊處</x:v>
      </x:c>
      <x:c r="D86" s="52" t="str">
        <x:f>'總表'!E32</x:f>
        <x:v>女</x:v>
      </x:c>
      <x:c r="E86" s="52" t="str">
        <x:f>'總表'!A32</x:f>
        <x:v>14</x:v>
      </x:c>
      <x:c r="F86" s="52" t="str">
        <x:f>'總表'!B32</x:f>
        <x:v>28</x:v>
      </x:c>
      <x:c r="G86" s="52" t="str">
        <x:f>IF('總表'!F32="","",'總表'!F32)</x:f>
      </x:c>
      <x:c r="H86" s="52" t="str">
        <x:f>IF('總表'!G32="","",'總表'!G32)</x:f>
      </x:c>
    </x:row>
    <x:row r="87">
      <x:c r="A87" s="52" t="str">
        <x:f>'總表'!H33</x:f>
        <x:v>第9桌</x:v>
      </x:c>
      <x:c r="B87" s="53" t="str">
        <x:f>'總表'!C33</x:f>
        <x:v>彭莉柔</x:v>
      </x:c>
      <x:c r="C87" s="53" t="str">
        <x:f>'總表'!D33</x:f>
        <x:v>富吳通訊處</x:v>
      </x:c>
      <x:c r="D87" s="52" t="str">
        <x:f>'總表'!E33</x:f>
        <x:v>女</x:v>
      </x:c>
      <x:c r="E87" s="52" t="str">
        <x:f>'總表'!A33</x:f>
        <x:v>15</x:v>
      </x:c>
      <x:c r="F87" s="52" t="str">
        <x:f>'總表'!B33</x:f>
        <x:v>29</x:v>
      </x:c>
      <x:c r="G87" s="52" t="str">
        <x:f>IF('總表'!F33="","",'總表'!F33)</x:f>
      </x:c>
      <x:c r="H87" s="52" t="str">
        <x:f>IF('總表'!G33="","",'總表'!G33)</x:f>
      </x:c>
    </x:row>
    <x:row r="88">
      <x:c r="A88" s="52" t="str">
        <x:f>'總表'!H34</x:f>
        <x:v>第9桌</x:v>
      </x:c>
      <x:c r="B88" s="53" t="str">
        <x:f>'總表'!C34</x:f>
        <x:v>陳盈蓁</x:v>
      </x:c>
      <x:c r="C88" s="53" t="str">
        <x:f>'總表'!D34</x:f>
        <x:v>富吳通訊處</x:v>
      </x:c>
      <x:c r="D88" s="52" t="str">
        <x:f>'總表'!E34</x:f>
        <x:v>女</x:v>
      </x:c>
      <x:c r="E88" s="52" t="str">
        <x:f>'總表'!A34</x:f>
        <x:v>15</x:v>
      </x:c>
      <x:c r="F88" s="52" t="str">
        <x:f>'總表'!B34</x:f>
        <x:v>30</x:v>
      </x:c>
      <x:c r="G88" s="52" t="str">
        <x:f>IF('總表'!F34="","",'總表'!F34)</x:f>
      </x:c>
      <x:c r="H88" s="52" t="str">
        <x:f>IF('總表'!G34="","",'總表'!G34)</x:f>
      </x:c>
    </x:row>
    <x:row r="89">
      <x:c r="A89" s="52" t="str">
        <x:f>'總表'!H35</x:f>
        <x:v>第9桌</x:v>
      </x:c>
      <x:c r="B89" s="53" t="str">
        <x:f>'總表'!C35</x:f>
        <x:v>周易慶</x:v>
      </x:c>
      <x:c r="C89" s="53" t="str">
        <x:f>'總表'!D35</x:f>
        <x:v>富吳通訊處</x:v>
      </x:c>
      <x:c r="D89" s="52" t="str">
        <x:f>'總表'!E35</x:f>
        <x:v>男</x:v>
      </x:c>
      <x:c r="E89" s="52" t="str">
        <x:f>'總表'!A35</x:f>
        <x:v>16</x:v>
      </x:c>
      <x:c r="F89" s="52" t="str">
        <x:f>'總表'!B35</x:f>
        <x:v>31</x:v>
      </x:c>
      <x:c r="G89" s="52" t="str">
        <x:f>IF('總表'!F35="","",'總表'!F35)</x:f>
      </x:c>
      <x:c r="H89" s="52" t="str">
        <x:f>IF('總表'!G35="","",'總表'!G35)</x:f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a4a52f09324416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RowHeight="14"/>
  <x:cols>
    <x:col min="1" max="1" width="13" hidden="0" customWidth="1"/>
    <x:col min="2" max="2" width="13" hidden="0" customWidth="1"/>
    <x:col min="3" max="3" width="10" hidden="0" customWidth="1"/>
    <x:col min="4" max="4" width="13" hidden="0" customWidth="1"/>
    <x:col min="5" max="5" width="20" hidden="0" customWidth="1"/>
    <x:col min="6" max="6" width="9" hidden="0" customWidth="1"/>
    <x:col min="7" max="7" width="9" hidden="0" customWidth="1"/>
    <x:col min="8" max="8" width="9" hidden="0" customWidth="1"/>
    <x:col min="9" max="9" width="18" hidden="0" customWidth="1"/>
  </x:cols>
  <x:sheetData>
    <x:row r="1" ht="30" customHeight="1">
      <x:c r="A1" s="48" t="str">
        <x:v>晚宴座位名單</x:v>
      </x:c>
      <x:c r="B1" s="48"/>
      <x:c r="C1" s="48"/>
      <x:c r="D1" s="48"/>
      <x:c r="E1" s="48"/>
      <x:c r="F1" s="48"/>
      <x:c r="G1" s="48"/>
      <x:c r="H1" s="48"/>
      <x:c r="I1" s="48"/>
    </x:row>
    <x:row r="2" ht="22" customHeight="1">
      <x:c r="A2" s="51" t="str">
        <x:v>依總表晚宴座位整理｜共 85 人；主桌及第 1～9 桌，含課程分組與組長。</x:v>
      </x:c>
      <x:c r="B2" s="51"/>
      <x:c r="C2" s="51"/>
      <x:c r="D2" s="51"/>
      <x:c r="E2" s="51"/>
      <x:c r="F2" s="51"/>
      <x:c r="G2" s="51"/>
      <x:c r="H2" s="51"/>
      <x:c r="I2" s="51"/>
    </x:row>
    <x:row r="4" ht="24" customHeight="1">
      <x:c r="A4" s="52" t="str">
        <x:v>晚宴座位</x:v>
      </x:c>
      <x:c r="B4" s="52" t="str">
        <x:v>課程分組</x:v>
      </x:c>
      <x:c r="C4" s="52" t="str">
        <x:v>組長</x:v>
      </x:c>
      <x:c r="D4" s="53" t="str">
        <x:v>姓名</x:v>
      </x:c>
      <x:c r="E4" s="53" t="str">
        <x:v>單位</x:v>
      </x:c>
      <x:c r="F4" s="52" t="str">
        <x:v>性別</x:v>
      </x:c>
      <x:c r="G4" s="52" t="str">
        <x:v>房號</x:v>
      </x:c>
      <x:c r="H4" s="52" t="str">
        <x:v>編號</x:v>
      </x:c>
      <x:c r="I4" s="53" t="str">
        <x:v>備註</x:v>
      </x:c>
    </x:row>
    <x:row r="5">
      <x:c r="A5" s="52" t="str">
        <x:f>'總表'!I7</x:f>
        <x:v>主桌</x:v>
      </x:c>
      <x:c r="B5" s="52" t="str">
        <x:f>IF('總表'!J7="","",'總表'!J7)</x:f>
      </x:c>
      <x:c r="C5" s="52" t="str">
        <x:f>IF('總表'!K7="","",'總表'!K7)</x:f>
      </x:c>
      <x:c r="D5" s="53" t="str">
        <x:f>'總表'!C7</x:f>
        <x:v>何宜家</x:v>
      </x:c>
      <x:c r="E5" s="53" t="str">
        <x:f>'總表'!D7</x:f>
        <x:v>高天通訊處</x:v>
      </x:c>
      <x:c r="F5" s="52" t="str">
        <x:f>'總表'!E7</x:f>
        <x:v>女</x:v>
      </x:c>
      <x:c r="G5" s="52" t="str">
        <x:f>'總表'!A7</x:f>
        <x:v>2</x:v>
      </x:c>
      <x:c r="H5" s="52" t="str">
        <x:f>'總表'!B7</x:f>
        <x:v>3</x:v>
      </x:c>
      <x:c r="I5" s="53" t="str">
        <x:f>IF('總表'!L7="","",'總表'!L7)</x:f>
      </x:c>
    </x:row>
    <x:row r="6">
      <x:c r="A6" s="52" t="str">
        <x:f>'總表'!I45</x:f>
        <x:v>主桌</x:v>
      </x:c>
      <x:c r="B6" s="52" t="str">
        <x:f>IF('總表'!J45="","",'總表'!J45)</x:f>
      </x:c>
      <x:c r="C6" s="52" t="str">
        <x:f>IF('總表'!K45="","",'總表'!K45)</x:f>
      </x:c>
      <x:c r="D6" s="53" t="str">
        <x:f>'總表'!C45</x:f>
        <x:v>簡宏鈞</x:v>
      </x:c>
      <x:c r="E6" s="53" t="str">
        <x:f>'總表'!D45</x:f>
        <x:v>富能通訊處</x:v>
      </x:c>
      <x:c r="F6" s="52" t="str">
        <x:f>'總表'!E45</x:f>
        <x:v>男</x:v>
      </x:c>
      <x:c r="G6" s="52" t="str">
        <x:f>'總表'!A45</x:f>
        <x:v>21</x:v>
      </x:c>
      <x:c r="H6" s="52" t="str">
        <x:f>'總表'!B45</x:f>
        <x:v>41</x:v>
      </x:c>
      <x:c r="I6" s="53" t="str">
        <x:f>IF('總表'!L45="","",'總表'!L45)</x:f>
      </x:c>
    </x:row>
    <x:row r="7">
      <x:c r="A7" s="52" t="str">
        <x:f>'總表'!I84</x:f>
        <x:v>主桌</x:v>
      </x:c>
      <x:c r="B7" s="52" t="str">
        <x:f>IF('總表'!J84="","",'總表'!J84)</x:f>
      </x:c>
      <x:c r="C7" s="52" t="str">
        <x:f>IF('總表'!K84="","",'總表'!K84)</x:f>
      </x:c>
      <x:c r="D7" s="53" t="str">
        <x:f>'總表'!C84</x:f>
        <x:v>王原軍</x:v>
      </x:c>
      <x:c r="E7" s="53" t="str">
        <x:f>'總表'!D84</x:f>
        <x:v>中沐通訊處</x:v>
      </x:c>
      <x:c r="F7" s="52" t="str">
        <x:f>'總表'!E84</x:f>
        <x:v>男</x:v>
      </x:c>
      <x:c r="G7" s="52" t="str">
        <x:f>'總表'!A84</x:f>
        <x:v>40</x:v>
      </x:c>
      <x:c r="H7" s="52" t="str">
        <x:f>'總表'!B84</x:f>
        <x:v>80</x:v>
      </x:c>
      <x:c r="I7" s="53" t="str">
        <x:f>IF('總表'!L84="","",'總表'!L84)</x:f>
      </x:c>
    </x:row>
    <x:row r="8">
      <x:c r="A8" s="52" t="str">
        <x:f>'總表'!I85</x:f>
        <x:v>主桌</x:v>
      </x:c>
      <x:c r="B8" s="52" t="str">
        <x:f>IF('總表'!J85="","",'總表'!J85)</x:f>
      </x:c>
      <x:c r="C8" s="52" t="str">
        <x:f>IF('總表'!K85="","",'總表'!K85)</x:f>
      </x:c>
      <x:c r="D8" s="53" t="str">
        <x:f>'總表'!C85</x:f>
        <x:v>鄭占禮</x:v>
      </x:c>
      <x:c r="E8" s="53" t="str">
        <x:f>'總表'!D85</x:f>
        <x:v>富占通訊處</x:v>
      </x:c>
      <x:c r="F8" s="52" t="str">
        <x:f>'總表'!E85</x:f>
        <x:v>男</x:v>
      </x:c>
      <x:c r="G8" s="52" t="str">
        <x:f>'總表'!A85</x:f>
        <x:v>41</x:v>
      </x:c>
      <x:c r="H8" s="52" t="str">
        <x:f>'總表'!B85</x:f>
        <x:v>81</x:v>
      </x:c>
      <x:c r="I8" s="53" t="str">
        <x:f>IF('總表'!L85="","",'總表'!L85)</x:f>
      </x:c>
    </x:row>
    <x:row r="9">
      <x:c r="A9" s="52" t="str">
        <x:f>'總表'!I86</x:f>
        <x:v>主桌</x:v>
      </x:c>
      <x:c r="B9" s="52" t="str">
        <x:f>IF('總表'!J86="","",'總表'!J86)</x:f>
      </x:c>
      <x:c r="C9" s="52" t="str">
        <x:f>IF('總表'!K86="","",'總表'!K86)</x:f>
      </x:c>
      <x:c r="D9" s="53" t="str">
        <x:f>'總表'!C86</x:f>
        <x:v>孫振文</x:v>
      </x:c>
      <x:c r="E9" s="53" t="str">
        <x:f>'總表'!D86</x:f>
        <x:v>富北通訊處</x:v>
      </x:c>
      <x:c r="F9" s="52" t="str">
        <x:f>'總表'!E86</x:f>
        <x:v>男</x:v>
      </x:c>
      <x:c r="G9" s="52" t="str">
        <x:f>'總表'!A86</x:f>
        <x:v>41</x:v>
      </x:c>
      <x:c r="H9" s="52" t="str">
        <x:f>'總表'!B86</x:f>
        <x:v>82</x:v>
      </x:c>
      <x:c r="I9" s="53" t="str">
        <x:f>IF('總表'!L86="","",'總表'!L86)</x:f>
      </x:c>
    </x:row>
    <x:row r="10">
      <x:c r="A10" s="52" t="str">
        <x:f>'總表'!I89</x:f>
        <x:v>主桌</x:v>
      </x:c>
      <x:c r="B10" s="52" t="str">
        <x:f>IF('總表'!J89="","",'總表'!J89)</x:f>
      </x:c>
      <x:c r="C10" s="52" t="str">
        <x:f>IF('總表'!K89="","",'總表'!K89)</x:f>
      </x:c>
      <x:c r="D10" s="53" t="str">
        <x:f>'總表'!C89</x:f>
        <x:v>吳修毅</x:v>
      </x:c>
      <x:c r="E10" s="53" t="str">
        <x:f>'總表'!D89</x:f>
        <x:v>富吳通訊處</x:v>
      </x:c>
      <x:c r="F10" s="52" t="str">
        <x:f>'總表'!E89</x:f>
        <x:v>男</x:v>
      </x:c>
      <x:c r="G10" s="52" t="str">
        <x:f>'總表'!A89</x:f>
        <x:v>44</x:v>
      </x:c>
      <x:c r="H10" s="52" t="n">
        <x:f>'總表'!B89</x:f>
        <x:v>85</x:v>
      </x:c>
      <x:c r="I10" s="53" t="str">
        <x:f>IF('總表'!L89="","",'總表'!L89)</x:f>
      </x:c>
    </x:row>
    <x:row r="11">
      <x:c r="A11" s="52" t="str">
        <x:f>'總表'!I11</x:f>
        <x:v>第1桌</x:v>
      </x:c>
      <x:c r="B11" s="52" t="str">
        <x:f>IF('總表'!J11="","",'總表'!J11)</x:f>
        <x:v>第1組</x:v>
      </x:c>
      <x:c r="C11" s="52" t="str">
        <x:f>IF('總表'!K11="","",'總表'!K11)</x:f>
      </x:c>
      <x:c r="D11" s="53" t="str">
        <x:f>'總表'!C11</x:f>
        <x:v>戴東志</x:v>
      </x:c>
      <x:c r="E11" s="53" t="str">
        <x:f>'總表'!D11</x:f>
        <x:v>高天通訊處</x:v>
      </x:c>
      <x:c r="F11" s="52" t="str">
        <x:f>'總表'!E11</x:f>
        <x:v>男</x:v>
      </x:c>
      <x:c r="G11" s="52" t="str">
        <x:f>'總表'!A11</x:f>
        <x:v>4</x:v>
      </x:c>
      <x:c r="H11" s="52" t="str">
        <x:f>'總表'!B11</x:f>
        <x:v>7</x:v>
      </x:c>
      <x:c r="I11" s="53" t="str">
        <x:f>IF('總表'!L11="","",'總表'!L11)</x:f>
      </x:c>
    </x:row>
    <x:row r="12">
      <x:c r="A12" s="52" t="str">
        <x:f>'總表'!I15</x:f>
        <x:v>第1桌</x:v>
      </x:c>
      <x:c r="B12" s="52" t="str">
        <x:f>IF('總表'!J15="","",'總表'!J15)</x:f>
        <x:v>第1組</x:v>
      </x:c>
      <x:c r="C12" s="52" t="str">
        <x:f>IF('總表'!K15="","",'總表'!K15)</x:f>
        <x:v>組長</x:v>
      </x:c>
      <x:c r="D12" s="53" t="str">
        <x:f>'總表'!C15</x:f>
        <x:v>黃柏瑞</x:v>
      </x:c>
      <x:c r="E12" s="53" t="str">
        <x:f>'總表'!D15</x:f>
        <x:v>高貴通訊處</x:v>
      </x:c>
      <x:c r="F12" s="52" t="str">
        <x:f>'總表'!E15</x:f>
        <x:v>男</x:v>
      </x:c>
      <x:c r="G12" s="52" t="str">
        <x:f>'總表'!A15</x:f>
        <x:v>6</x:v>
      </x:c>
      <x:c r="H12" s="52" t="str">
        <x:f>'總表'!B15</x:f>
        <x:v>11</x:v>
      </x:c>
      <x:c r="I12" s="53" t="str">
        <x:f>IF('總表'!L15="","",'總表'!L15)</x:f>
      </x:c>
    </x:row>
    <x:row r="13">
      <x:c r="A13" s="52" t="str">
        <x:f>'總表'!I29</x:f>
        <x:v>第1桌</x:v>
      </x:c>
      <x:c r="B13" s="52" t="str">
        <x:f>IF('總表'!J29="","",'總表'!J29)</x:f>
        <x:v>第1組</x:v>
      </x:c>
      <x:c r="C13" s="52" t="str">
        <x:f>IF('總表'!K29="","",'總表'!K29)</x:f>
      </x:c>
      <x:c r="D13" s="53" t="str">
        <x:f>'總表'!C29</x:f>
        <x:v>王騌捷</x:v>
      </x:c>
      <x:c r="E13" s="53" t="str">
        <x:f>'總表'!D29</x:f>
        <x:v>富吳通訊處</x:v>
      </x:c>
      <x:c r="F13" s="52" t="str">
        <x:f>'總表'!E29</x:f>
        <x:v>男</x:v>
      </x:c>
      <x:c r="G13" s="52" t="str">
        <x:f>'總表'!A29</x:f>
        <x:v>13</x:v>
      </x:c>
      <x:c r="H13" s="52" t="str">
        <x:f>'總表'!B29</x:f>
        <x:v>25</x:v>
      </x:c>
      <x:c r="I13" s="53" t="str">
        <x:f>IF('總表'!L29="","",'總表'!L29)</x:f>
      </x:c>
    </x:row>
    <x:row r="14">
      <x:c r="A14" s="52" t="str">
        <x:f>'總表'!I39</x:f>
        <x:v>第1桌</x:v>
      </x:c>
      <x:c r="B14" s="52" t="str">
        <x:f>IF('總表'!J39="","",'總表'!J39)</x:f>
        <x:v>第1組</x:v>
      </x:c>
      <x:c r="C14" s="52" t="str">
        <x:f>IF('總表'!K39="","",'總表'!K39)</x:f>
      </x:c>
      <x:c r="D14" s="53" t="str">
        <x:f>'總表'!C39</x:f>
        <x:v>鄭丞哲</x:v>
      </x:c>
      <x:c r="E14" s="53" t="str">
        <x:f>'總表'!D39</x:f>
        <x:v>富吳通訊處</x:v>
      </x:c>
      <x:c r="F14" s="52" t="str">
        <x:f>'總表'!E39</x:f>
        <x:v>男</x:v>
      </x:c>
      <x:c r="G14" s="52" t="str">
        <x:f>'總表'!A39</x:f>
        <x:v>18</x:v>
      </x:c>
      <x:c r="H14" s="52" t="str">
        <x:f>'總表'!B39</x:f>
        <x:v>35</x:v>
      </x:c>
      <x:c r="I14" s="53" t="str">
        <x:f>IF('總表'!L39="","",'總表'!L39)</x:f>
      </x:c>
    </x:row>
    <x:row r="15">
      <x:c r="A15" s="52" t="str">
        <x:f>'總表'!I52</x:f>
        <x:v>第1桌</x:v>
      </x:c>
      <x:c r="B15" s="52" t="str">
        <x:f>IF('總表'!J52="","",'總表'!J52)</x:f>
        <x:v>第1組</x:v>
      </x:c>
      <x:c r="C15" s="52" t="str">
        <x:f>IF('總表'!K52="","",'總表'!K52)</x:f>
      </x:c>
      <x:c r="D15" s="53" t="str">
        <x:f>'總表'!C52</x:f>
        <x:v>徐維鈴</x:v>
      </x:c>
      <x:c r="E15" s="53" t="str">
        <x:f>'總表'!D52</x:f>
        <x:v>富占通訊處</x:v>
      </x:c>
      <x:c r="F15" s="52" t="str">
        <x:f>'總表'!E52</x:f>
        <x:v>女</x:v>
      </x:c>
      <x:c r="G15" s="52" t="str">
        <x:f>'總表'!A52</x:f>
        <x:v>24</x:v>
      </x:c>
      <x:c r="H15" s="52" t="str">
        <x:f>'總表'!B52</x:f>
        <x:v>48</x:v>
      </x:c>
      <x:c r="I15" s="53" t="str">
        <x:f>IF('總表'!L52="","",'總表'!L52)</x:f>
      </x:c>
    </x:row>
    <x:row r="16">
      <x:c r="A16" s="52" t="str">
        <x:f>'總表'!I59</x:f>
        <x:v>第1桌</x:v>
      </x:c>
      <x:c r="B16" s="52" t="str">
        <x:f>IF('總表'!J59="","",'總表'!J59)</x:f>
        <x:v>第1組</x:v>
      </x:c>
      <x:c r="C16" s="52" t="str">
        <x:f>IF('總表'!K59="","",'總表'!K59)</x:f>
      </x:c>
      <x:c r="D16" s="53" t="str">
        <x:f>'總表'!C59</x:f>
        <x:v>余妏珊</x:v>
      </x:c>
      <x:c r="E16" s="53" t="str">
        <x:f>'總表'!D59</x:f>
        <x:v>富則通訊處</x:v>
      </x:c>
      <x:c r="F16" s="52" t="str">
        <x:f>'總表'!E59</x:f>
        <x:v>女</x:v>
      </x:c>
      <x:c r="G16" s="52" t="str">
        <x:f>'總表'!A59</x:f>
        <x:v>28</x:v>
      </x:c>
      <x:c r="H16" s="52" t="str">
        <x:f>'總表'!B59</x:f>
        <x:v>55</x:v>
      </x:c>
      <x:c r="I16" s="53" t="str">
        <x:f>IF('總表'!L59="","",'總表'!L59)</x:f>
      </x:c>
    </x:row>
    <x:row r="17">
      <x:c r="A17" s="52" t="str">
        <x:f>'總表'!I62</x:f>
        <x:v>第1桌</x:v>
      </x:c>
      <x:c r="B17" s="52" t="str">
        <x:f>IF('總表'!J62="","",'總表'!J62)</x:f>
        <x:v>第1組</x:v>
      </x:c>
      <x:c r="C17" s="52" t="str">
        <x:f>IF('總表'!K62="","",'總表'!K62)</x:f>
      </x:c>
      <x:c r="D17" s="53" t="str">
        <x:f>'總表'!C62</x:f>
        <x:v>李婕詠</x:v>
      </x:c>
      <x:c r="E17" s="53" t="str">
        <x:f>'總表'!D62</x:f>
        <x:v>富則通訊處</x:v>
      </x:c>
      <x:c r="F17" s="52" t="str">
        <x:f>'總表'!E62</x:f>
        <x:v>女</x:v>
      </x:c>
      <x:c r="G17" s="52" t="str">
        <x:f>'總表'!A62</x:f>
        <x:v>29</x:v>
      </x:c>
      <x:c r="H17" s="52" t="str">
        <x:f>'總表'!B62</x:f>
        <x:v>58</x:v>
      </x:c>
      <x:c r="I17" s="53" t="str">
        <x:f>IF('總表'!L62="","",'總表'!L62)</x:f>
      </x:c>
    </x:row>
    <x:row r="18">
      <x:c r="A18" s="52" t="str">
        <x:f>'總表'!I73</x:f>
        <x:v>第1桌</x:v>
      </x:c>
      <x:c r="B18" s="52" t="str">
        <x:f>IF('總表'!J73="","",'總表'!J73)</x:f>
        <x:v>第1組</x:v>
      </x:c>
      <x:c r="C18" s="52" t="str">
        <x:f>IF('總表'!K73="","",'總表'!K73)</x:f>
      </x:c>
      <x:c r="D18" s="53" t="str">
        <x:f>'總表'!C73</x:f>
        <x:v>吳皓誠</x:v>
      </x:c>
      <x:c r="E18" s="53" t="str">
        <x:f>'總表'!D73</x:f>
        <x:v>富亨通訊處</x:v>
      </x:c>
      <x:c r="F18" s="52" t="str">
        <x:f>'總表'!E73</x:f>
        <x:v>男</x:v>
      </x:c>
      <x:c r="G18" s="52" t="str">
        <x:f>'總表'!A73</x:f>
        <x:v>35</x:v>
      </x:c>
      <x:c r="H18" s="52" t="str">
        <x:f>'總表'!B73</x:f>
        <x:v>69</x:v>
      </x:c>
      <x:c r="I18" s="53" t="str">
        <x:f>IF('總表'!L73="","",'總表'!L73)</x:f>
      </x:c>
    </x:row>
    <x:row r="19">
      <x:c r="A19" s="52" t="str">
        <x:f>'總表'!I80</x:f>
        <x:v>第1桌</x:v>
      </x:c>
      <x:c r="B19" s="52" t="str">
        <x:f>IF('總表'!J80="","",'總表'!J80)</x:f>
        <x:v>第1組</x:v>
      </x:c>
      <x:c r="C19" s="52" t="str">
        <x:f>IF('總表'!K80="","",'總表'!K80)</x:f>
      </x:c>
      <x:c r="D19" s="53" t="str">
        <x:f>'總表'!C80</x:f>
        <x:v>葉金玲</x:v>
      </x:c>
      <x:c r="E19" s="53" t="str">
        <x:f>'總表'!D80</x:f>
        <x:v>富鑽通訊處</x:v>
      </x:c>
      <x:c r="F19" s="52" t="str">
        <x:f>'總表'!E80</x:f>
        <x:v>女</x:v>
      </x:c>
      <x:c r="G19" s="52" t="str">
        <x:f>'總表'!A80</x:f>
        <x:v>38</x:v>
      </x:c>
      <x:c r="H19" s="52" t="str">
        <x:f>'總表'!B80</x:f>
        <x:v>76</x:v>
      </x:c>
      <x:c r="I19" s="53" t="str">
        <x:f>IF('總表'!L80="","",'總表'!L80)</x:f>
      </x:c>
    </x:row>
    <x:row r="20">
      <x:c r="A20" s="52" t="str">
        <x:f>'總表'!I8</x:f>
        <x:v>第2桌</x:v>
      </x:c>
      <x:c r="B20" s="52" t="str">
        <x:f>IF('總表'!J8="","",'總表'!J8)</x:f>
        <x:v>第2組</x:v>
      </x:c>
      <x:c r="C20" s="52" t="str">
        <x:f>IF('總表'!K8="","",'總表'!K8)</x:f>
      </x:c>
      <x:c r="D20" s="53" t="str">
        <x:f>'總表'!C8</x:f>
        <x:v>蕭宇晴</x:v>
      </x:c>
      <x:c r="E20" s="53" t="str">
        <x:f>'總表'!D8</x:f>
        <x:v>高天通訊處</x:v>
      </x:c>
      <x:c r="F20" s="52" t="str">
        <x:f>'總表'!E8</x:f>
        <x:v>女</x:v>
      </x:c>
      <x:c r="G20" s="52" t="str">
        <x:f>'總表'!A8</x:f>
        <x:v>2</x:v>
      </x:c>
      <x:c r="H20" s="52" t="str">
        <x:f>'總表'!B8</x:f>
        <x:v>4</x:v>
      </x:c>
      <x:c r="I20" s="53" t="str">
        <x:f>IF('總表'!L8="","",'總表'!L8)</x:f>
      </x:c>
    </x:row>
    <x:row r="21">
      <x:c r="A21" s="52" t="str">
        <x:f>'總表'!I16</x:f>
        <x:v>第2桌</x:v>
      </x:c>
      <x:c r="B21" s="52" t="str">
        <x:f>IF('總表'!J16="","",'總表'!J16)</x:f>
        <x:v>第2組</x:v>
      </x:c>
      <x:c r="C21" s="52" t="str">
        <x:f>IF('總表'!K16="","",'總表'!K16)</x:f>
      </x:c>
      <x:c r="D21" s="53" t="str">
        <x:f>'總表'!C16</x:f>
        <x:v>陳其呈</x:v>
      </x:c>
      <x:c r="E21" s="53" t="str">
        <x:f>'總表'!D16</x:f>
        <x:v>高貴通訊處</x:v>
      </x:c>
      <x:c r="F21" s="52" t="str">
        <x:f>'總表'!E16</x:f>
        <x:v>男</x:v>
      </x:c>
      <x:c r="G21" s="52" t="str">
        <x:f>'總表'!A16</x:f>
        <x:v>6</x:v>
      </x:c>
      <x:c r="H21" s="52" t="str">
        <x:f>'總表'!B16</x:f>
        <x:v>12</x:v>
      </x:c>
      <x:c r="I21" s="53" t="str">
        <x:f>IF('總表'!L16="","",'總表'!L16)</x:f>
      </x:c>
    </x:row>
    <x:row r="22">
      <x:c r="A22" s="52" t="str">
        <x:f>'總表'!I21</x:f>
        <x:v>第2桌</x:v>
      </x:c>
      <x:c r="B22" s="52" t="str">
        <x:f>IF('總表'!J21="","",'總表'!J21)</x:f>
        <x:v>第2組</x:v>
      </x:c>
      <x:c r="C22" s="52" t="str">
        <x:f>IF('總表'!K21="","",'總表'!K21)</x:f>
      </x:c>
      <x:c r="D22" s="53" t="str">
        <x:f>'總表'!C21</x:f>
        <x:v>賴芯甯</x:v>
      </x:c>
      <x:c r="E22" s="53" t="str">
        <x:f>'總表'!D21</x:f>
        <x:v>富予二通訊處</x:v>
      </x:c>
      <x:c r="F22" s="52" t="str">
        <x:f>'總表'!E21</x:f>
        <x:v>女</x:v>
      </x:c>
      <x:c r="G22" s="52" t="str">
        <x:f>'總表'!A21</x:f>
        <x:v>9</x:v>
      </x:c>
      <x:c r="H22" s="52" t="str">
        <x:f>'總表'!B21</x:f>
        <x:v>17</x:v>
      </x:c>
      <x:c r="I22" s="53" t="str">
        <x:f>IF('總表'!L21="","",'總表'!L21)</x:f>
      </x:c>
    </x:row>
    <x:row r="23">
      <x:c r="A23" s="52" t="str">
        <x:f>'總表'!I24</x:f>
        <x:v>第2桌</x:v>
      </x:c>
      <x:c r="B23" s="52" t="str">
        <x:f>IF('總表'!J24="","",'總表'!J24)</x:f>
        <x:v>第2組</x:v>
      </x:c>
      <x:c r="C23" s="52" t="str">
        <x:f>IF('總表'!K24="","",'總表'!K24)</x:f>
      </x:c>
      <x:c r="D23" s="53" t="str">
        <x:f>'總表'!C24</x:f>
        <x:v>王姵慈</x:v>
      </x:c>
      <x:c r="E23" s="53" t="str">
        <x:f>'總表'!D24</x:f>
        <x:v>富吳通訊處</x:v>
      </x:c>
      <x:c r="F23" s="52" t="str">
        <x:f>'總表'!E24</x:f>
        <x:v>女</x:v>
      </x:c>
      <x:c r="G23" s="52" t="str">
        <x:f>'總表'!A24</x:f>
        <x:v>10</x:v>
      </x:c>
      <x:c r="H23" s="52" t="str">
        <x:f>'總表'!B24</x:f>
        <x:v>20</x:v>
      </x:c>
      <x:c r="I23" s="53" t="str">
        <x:f>IF('總表'!L24="","",'總表'!L24)</x:f>
      </x:c>
    </x:row>
    <x:row r="24">
      <x:c r="A24" s="52" t="str">
        <x:f>'總表'!I26</x:f>
        <x:v>第2桌</x:v>
      </x:c>
      <x:c r="B24" s="52" t="str">
        <x:f>IF('總表'!J26="","",'總表'!J26)</x:f>
        <x:v>第2組</x:v>
      </x:c>
      <x:c r="C24" s="52" t="str">
        <x:f>IF('總表'!K26="","",'總表'!K26)</x:f>
      </x:c>
      <x:c r="D24" s="53" t="str">
        <x:f>'總表'!C26</x:f>
        <x:v>吳佩姗</x:v>
      </x:c>
      <x:c r="E24" s="53" t="str">
        <x:f>'總表'!D26</x:f>
        <x:v>富吳通訊處</x:v>
      </x:c>
      <x:c r="F24" s="52" t="str">
        <x:f>'總表'!E26</x:f>
        <x:v>女</x:v>
      </x:c>
      <x:c r="G24" s="52" t="str">
        <x:f>'總表'!A26</x:f>
        <x:v>11</x:v>
      </x:c>
      <x:c r="H24" s="52" t="str">
        <x:f>'總表'!B26</x:f>
        <x:v>22</x:v>
      </x:c>
      <x:c r="I24" s="53" t="str">
        <x:f>IF('總表'!L26="","",'總表'!L26)</x:f>
      </x:c>
    </x:row>
    <x:row r="25">
      <x:c r="A25" s="52" t="str">
        <x:f>'總表'!I44</x:f>
        <x:v>第2桌</x:v>
      </x:c>
      <x:c r="B25" s="52" t="str">
        <x:f>IF('總表'!J44="","",'總表'!J44)</x:f>
        <x:v>第2組</x:v>
      </x:c>
      <x:c r="C25" s="52" t="str">
        <x:f>IF('總表'!K44="","",'總表'!K44)</x:f>
      </x:c>
      <x:c r="D25" s="53" t="str">
        <x:f>'總表'!C44</x:f>
        <x:v>侯宏詣</x:v>
      </x:c>
      <x:c r="E25" s="53" t="str">
        <x:f>'總表'!D44</x:f>
        <x:v>富則通訊處</x:v>
      </x:c>
      <x:c r="F25" s="52" t="str">
        <x:f>'總表'!E44</x:f>
        <x:v>男</x:v>
      </x:c>
      <x:c r="G25" s="52" t="str">
        <x:f>'總表'!A44</x:f>
        <x:v>20</x:v>
      </x:c>
      <x:c r="H25" s="52" t="str">
        <x:f>'總表'!B44</x:f>
        <x:v>40</x:v>
      </x:c>
      <x:c r="I25" s="53" t="str">
        <x:f>IF('總表'!L44="","",'總表'!L44)</x:f>
      </x:c>
    </x:row>
    <x:row r="26">
      <x:c r="A26" s="52" t="str">
        <x:f>'總表'!I55</x:f>
        <x:v>第2桌</x:v>
      </x:c>
      <x:c r="B26" s="52" t="str">
        <x:f>IF('總表'!J55="","",'總表'!J55)</x:f>
        <x:v>第2組</x:v>
      </x:c>
      <x:c r="C26" s="52" t="str">
        <x:f>IF('總表'!K55="","",'總表'!K55)</x:f>
        <x:v>組長</x:v>
      </x:c>
      <x:c r="D26" s="53" t="str">
        <x:f>'總表'!C55</x:f>
        <x:v>顏明儀</x:v>
      </x:c>
      <x:c r="E26" s="53" t="str">
        <x:f>'總表'!D55</x:f>
        <x:v>富則通訊處</x:v>
      </x:c>
      <x:c r="F26" s="52" t="str">
        <x:f>'總表'!E55</x:f>
        <x:v>女</x:v>
      </x:c>
      <x:c r="G26" s="52" t="str">
        <x:f>'總表'!A55</x:f>
        <x:v>26</x:v>
      </x:c>
      <x:c r="H26" s="52" t="str">
        <x:f>'總表'!B55</x:f>
        <x:v>51</x:v>
      </x:c>
      <x:c r="I26" s="53" t="str">
        <x:f>IF('總表'!L55="","",'總表'!L55)</x:f>
      </x:c>
    </x:row>
    <x:row r="27">
      <x:c r="A27" s="52" t="str">
        <x:f>'總表'!I67</x:f>
        <x:v>第2桌</x:v>
      </x:c>
      <x:c r="B27" s="52" t="str">
        <x:f>IF('總表'!J67="","",'總表'!J67)</x:f>
        <x:v>第2組</x:v>
      </x:c>
      <x:c r="C27" s="52" t="str">
        <x:f>IF('總表'!K67="","",'總表'!K67)</x:f>
      </x:c>
      <x:c r="D27" s="53" t="str">
        <x:f>'總表'!C67</x:f>
        <x:v>高智源</x:v>
      </x:c>
      <x:c r="E27" s="53" t="str">
        <x:f>'總表'!D67</x:f>
        <x:v>富則通訊處</x:v>
      </x:c>
      <x:c r="F27" s="52" t="str">
        <x:f>'總表'!E67</x:f>
        <x:v>男</x:v>
      </x:c>
      <x:c r="G27" s="52" t="str">
        <x:f>'總表'!A67</x:f>
        <x:v>32</x:v>
      </x:c>
      <x:c r="H27" s="52" t="str">
        <x:f>'總表'!B67</x:f>
        <x:v>63</x:v>
      </x:c>
      <x:c r="I27" s="53" t="str">
        <x:f>IF('總表'!L67="","",'總表'!L67)</x:f>
      </x:c>
    </x:row>
    <x:row r="28">
      <x:c r="A28" s="52" t="str">
        <x:f>'總表'!I82</x:f>
        <x:v>第2桌</x:v>
      </x:c>
      <x:c r="B28" s="52" t="str">
        <x:f>IF('總表'!J82="","",'總表'!J82)</x:f>
        <x:v>第2組</x:v>
      </x:c>
      <x:c r="C28" s="52" t="str">
        <x:f>IF('總表'!K82="","",'總表'!K82)</x:f>
      </x:c>
      <x:c r="D28" s="53" t="str">
        <x:f>'總表'!C82</x:f>
        <x:v>林瑋</x:v>
      </x:c>
      <x:c r="E28" s="53" t="str">
        <x:f>'總表'!D82</x:f>
        <x:v>富北通訊處</x:v>
      </x:c>
      <x:c r="F28" s="52" t="str">
        <x:f>'總表'!E82</x:f>
        <x:v>男</x:v>
      </x:c>
      <x:c r="G28" s="52" t="str">
        <x:f>'總表'!A82</x:f>
        <x:v>39</x:v>
      </x:c>
      <x:c r="H28" s="52" t="str">
        <x:f>'總表'!B82</x:f>
        <x:v>78</x:v>
      </x:c>
      <x:c r="I28" s="53" t="str">
        <x:f>IF('總表'!L82="","",'總表'!L82)</x:f>
      </x:c>
    </x:row>
    <x:row r="29">
      <x:c r="A29" s="52" t="str">
        <x:f>'總表'!I9</x:f>
        <x:v>第3桌</x:v>
      </x:c>
      <x:c r="B29" s="52" t="str">
        <x:f>IF('總表'!J9="","",'總表'!J9)</x:f>
        <x:v>第3組</x:v>
      </x:c>
      <x:c r="C29" s="52" t="str">
        <x:f>IF('總表'!K9="","",'總表'!K9)</x:f>
      </x:c>
      <x:c r="D29" s="53" t="str">
        <x:f>'總表'!C9</x:f>
        <x:v>蕭如菁</x:v>
      </x:c>
      <x:c r="E29" s="53" t="str">
        <x:f>'總表'!D9</x:f>
        <x:v>高天通訊處</x:v>
      </x:c>
      <x:c r="F29" s="52" t="str">
        <x:f>'總表'!E9</x:f>
        <x:v>女</x:v>
      </x:c>
      <x:c r="G29" s="52" t="str">
        <x:f>'總表'!A9</x:f>
        <x:v>3</x:v>
      </x:c>
      <x:c r="H29" s="52" t="str">
        <x:f>'總表'!B9</x:f>
        <x:v>5</x:v>
      </x:c>
      <x:c r="I29" s="53" t="str">
        <x:f>IF('總表'!L9="","",'總表'!L9)</x:f>
      </x:c>
    </x:row>
    <x:row r="30">
      <x:c r="A30" s="52" t="str">
        <x:f>'總表'!I20</x:f>
        <x:v>第3桌</x:v>
      </x:c>
      <x:c r="B30" s="52" t="str">
        <x:f>IF('總表'!J20="","",'總表'!J20)</x:f>
        <x:v>第3組</x:v>
      </x:c>
      <x:c r="C30" s="52" t="str">
        <x:f>IF('總表'!K20="","",'總表'!K20)</x:f>
        <x:v>組長</x:v>
      </x:c>
      <x:c r="D30" s="53" t="str">
        <x:f>'總表'!C20</x:f>
        <x:v>宋里安</x:v>
      </x:c>
      <x:c r="E30" s="53" t="str">
        <x:f>'總表'!D20</x:f>
        <x:v>富予二通訊處</x:v>
      </x:c>
      <x:c r="F30" s="52" t="str">
        <x:f>'總表'!E20</x:f>
        <x:v>男</x:v>
      </x:c>
      <x:c r="G30" s="52" t="str">
        <x:f>'總表'!A20</x:f>
        <x:v>8</x:v>
      </x:c>
      <x:c r="H30" s="52" t="str">
        <x:f>'總表'!B20</x:f>
        <x:v>16</x:v>
      </x:c>
      <x:c r="I30" s="53" t="str">
        <x:f>IF('總表'!L20="","",'總表'!L20)</x:f>
      </x:c>
    </x:row>
    <x:row r="31">
      <x:c r="A31" s="52" t="str">
        <x:f>'總表'!I28</x:f>
        <x:v>第3桌</x:v>
      </x:c>
      <x:c r="B31" s="52" t="str">
        <x:f>IF('總表'!J28="","",'總表'!J28)</x:f>
        <x:v>第3組</x:v>
      </x:c>
      <x:c r="C31" s="52" t="str">
        <x:f>IF('總表'!K28="","",'總表'!K28)</x:f>
      </x:c>
      <x:c r="D31" s="53" t="str">
        <x:f>'總表'!C28</x:f>
        <x:v>廖冠傑</x:v>
      </x:c>
      <x:c r="E31" s="53" t="str">
        <x:f>'總表'!D28</x:f>
        <x:v>富吳通訊處</x:v>
      </x:c>
      <x:c r="F31" s="52" t="str">
        <x:f>'總表'!E28</x:f>
        <x:v>男</x:v>
      </x:c>
      <x:c r="G31" s="52" t="str">
        <x:f>'總表'!A28</x:f>
        <x:v>12</x:v>
      </x:c>
      <x:c r="H31" s="52" t="str">
        <x:f>'總表'!B28</x:f>
        <x:v>24</x:v>
      </x:c>
      <x:c r="I31" s="53" t="str">
        <x:f>IF('總表'!L28="","",'總表'!L28)</x:f>
      </x:c>
    </x:row>
    <x:row r="32">
      <x:c r="A32" s="52" t="str">
        <x:f>'總表'!I30</x:f>
        <x:v>第3桌</x:v>
      </x:c>
      <x:c r="B32" s="52" t="str">
        <x:f>IF('總表'!J30="","",'總表'!J30)</x:f>
        <x:v>第3組</x:v>
      </x:c>
      <x:c r="C32" s="52" t="str">
        <x:f>IF('總表'!K30="","",'總表'!K30)</x:f>
      </x:c>
      <x:c r="D32" s="53" t="str">
        <x:f>'總表'!C30</x:f>
        <x:v>黃金隆</x:v>
      </x:c>
      <x:c r="E32" s="53" t="str">
        <x:f>'總表'!D30</x:f>
        <x:v>富吳通訊處</x:v>
      </x:c>
      <x:c r="F32" s="52" t="str">
        <x:f>'總表'!E30</x:f>
        <x:v>男</x:v>
      </x:c>
      <x:c r="G32" s="52" t="str">
        <x:f>'總表'!A30</x:f>
        <x:v>13</x:v>
      </x:c>
      <x:c r="H32" s="52" t="str">
        <x:f>'總表'!B30</x:f>
        <x:v>26</x:v>
      </x:c>
      <x:c r="I32" s="53" t="str">
        <x:f>IF('總表'!L30="","",'總表'!L30)</x:f>
      </x:c>
    </x:row>
    <x:row r="33">
      <x:c r="A33" s="52" t="str">
        <x:f>'總表'!I34</x:f>
        <x:v>第3桌</x:v>
      </x:c>
      <x:c r="B33" s="52" t="str">
        <x:f>IF('總表'!J34="","",'總表'!J34)</x:f>
        <x:v>第3組</x:v>
      </x:c>
      <x:c r="C33" s="52" t="str">
        <x:f>IF('總表'!K34="","",'總表'!K34)</x:f>
      </x:c>
      <x:c r="D33" s="53" t="str">
        <x:f>'總表'!C34</x:f>
        <x:v>陳盈蓁</x:v>
      </x:c>
      <x:c r="E33" s="53" t="str">
        <x:f>'總表'!D34</x:f>
        <x:v>富吳通訊處</x:v>
      </x:c>
      <x:c r="F33" s="52" t="str">
        <x:f>'總表'!E34</x:f>
        <x:v>女</x:v>
      </x:c>
      <x:c r="G33" s="52" t="str">
        <x:f>'總表'!A34</x:f>
        <x:v>15</x:v>
      </x:c>
      <x:c r="H33" s="52" t="str">
        <x:f>'總表'!B34</x:f>
        <x:v>30</x:v>
      </x:c>
      <x:c r="I33" s="53" t="str">
        <x:f>IF('總表'!L34="","",'總表'!L34)</x:f>
      </x:c>
    </x:row>
    <x:row r="34">
      <x:c r="A34" s="52" t="str">
        <x:f>'總表'!I38</x:f>
        <x:v>第3桌</x:v>
      </x:c>
      <x:c r="B34" s="52" t="str">
        <x:f>IF('總表'!J38="","",'總表'!J38)</x:f>
        <x:v>第3組</x:v>
      </x:c>
      <x:c r="C34" s="52" t="str">
        <x:f>IF('總表'!K38="","",'總表'!K38)</x:f>
      </x:c>
      <x:c r="D34" s="53" t="str">
        <x:f>'總表'!C38</x:f>
        <x:v>黃彥融</x:v>
      </x:c>
      <x:c r="E34" s="53" t="str">
        <x:f>'總表'!D38</x:f>
        <x:v>富吳通訊處</x:v>
      </x:c>
      <x:c r="F34" s="52" t="str">
        <x:f>'總表'!E38</x:f>
        <x:v>男</x:v>
      </x:c>
      <x:c r="G34" s="52" t="str">
        <x:f>'總表'!A38</x:f>
        <x:v>17</x:v>
      </x:c>
      <x:c r="H34" s="52" t="str">
        <x:f>'總表'!B38</x:f>
        <x:v>34</x:v>
      </x:c>
      <x:c r="I34" s="53" t="str">
        <x:f>IF('總表'!L38="","",'總表'!L38)</x:f>
      </x:c>
    </x:row>
    <x:row r="35">
      <x:c r="A35" s="52" t="str">
        <x:f>'總表'!I48</x:f>
        <x:v>第3桌</x:v>
      </x:c>
      <x:c r="B35" s="52" t="str">
        <x:f>IF('總表'!J48="","",'總表'!J48)</x:f>
        <x:v>第3組</x:v>
      </x:c>
      <x:c r="C35" s="52" t="str">
        <x:f>IF('總表'!K48="","",'總表'!K48)</x:f>
      </x:c>
      <x:c r="D35" s="53" t="str">
        <x:f>'總表'!C48</x:f>
        <x:v>林桂安</x:v>
      </x:c>
      <x:c r="E35" s="53" t="str">
        <x:f>'總表'!D48</x:f>
        <x:v>富則通訊處</x:v>
      </x:c>
      <x:c r="F35" s="52" t="str">
        <x:f>'總表'!E48</x:f>
        <x:v>女</x:v>
      </x:c>
      <x:c r="G35" s="52" t="str">
        <x:f>'總表'!A48</x:f>
        <x:v>22</x:v>
      </x:c>
      <x:c r="H35" s="52" t="str">
        <x:f>'總表'!B48</x:f>
        <x:v>44</x:v>
      </x:c>
      <x:c r="I35" s="53" t="str">
        <x:f>IF('總表'!L48="","",'總表'!L48)</x:f>
      </x:c>
    </x:row>
    <x:row r="36">
      <x:c r="A36" s="52" t="str">
        <x:f>'總表'!I68</x:f>
        <x:v>第3桌</x:v>
      </x:c>
      <x:c r="B36" s="52" t="str">
        <x:f>IF('總表'!J68="","",'總表'!J68)</x:f>
        <x:v>第3組</x:v>
      </x:c>
      <x:c r="C36" s="52" t="str">
        <x:f>IF('總表'!K68="","",'總表'!K68)</x:f>
      </x:c>
      <x:c r="D36" s="53" t="str">
        <x:f>'總表'!C68</x:f>
        <x:v>王銘宏</x:v>
      </x:c>
      <x:c r="E36" s="53" t="str">
        <x:f>'總表'!D68</x:f>
        <x:v>富則通訊處</x:v>
      </x:c>
      <x:c r="F36" s="52" t="str">
        <x:f>'總表'!E68</x:f>
        <x:v>男</x:v>
      </x:c>
      <x:c r="G36" s="52" t="str">
        <x:f>'總表'!A68</x:f>
        <x:v>32</x:v>
      </x:c>
      <x:c r="H36" s="52" t="str">
        <x:f>'總表'!B68</x:f>
        <x:v>64</x:v>
      </x:c>
      <x:c r="I36" s="53" t="str">
        <x:f>IF('總表'!L68="","",'總表'!L68)</x:f>
      </x:c>
    </x:row>
    <x:row r="37">
      <x:c r="A37" s="52" t="str">
        <x:f>'總表'!I74</x:f>
        <x:v>第3桌</x:v>
      </x:c>
      <x:c r="B37" s="52" t="str">
        <x:f>IF('總表'!J74="","",'總表'!J74)</x:f>
        <x:v>第3組</x:v>
      </x:c>
      <x:c r="C37" s="52" t="str">
        <x:f>IF('總表'!K74="","",'總表'!K74)</x:f>
      </x:c>
      <x:c r="D37" s="53" t="str">
        <x:f>'總表'!C74</x:f>
        <x:v>張家瑋</x:v>
      </x:c>
      <x:c r="E37" s="53" t="str">
        <x:f>'總表'!D74</x:f>
        <x:v>富亨通訊處</x:v>
      </x:c>
      <x:c r="F37" s="52" t="str">
        <x:f>'總表'!E74</x:f>
        <x:v>男</x:v>
      </x:c>
      <x:c r="G37" s="52" t="str">
        <x:f>'總表'!A74</x:f>
        <x:v>35</x:v>
      </x:c>
      <x:c r="H37" s="52" t="str">
        <x:f>'總表'!B74</x:f>
        <x:v>70</x:v>
      </x:c>
      <x:c r="I37" s="53" t="str">
        <x:f>IF('總表'!L74="","",'總表'!L74)</x:f>
      </x:c>
    </x:row>
    <x:row r="38">
      <x:c r="A38" s="52" t="str">
        <x:f>'總表'!I22</x:f>
        <x:v>第4桌</x:v>
      </x:c>
      <x:c r="B38" s="52" t="str">
        <x:f>IF('總表'!J22="","",'總表'!J22)</x:f>
        <x:v>第4組</x:v>
      </x:c>
      <x:c r="C38" s="52" t="str">
        <x:f>IF('總表'!K22="","",'總表'!K22)</x:f>
      </x:c>
      <x:c r="D38" s="53" t="str">
        <x:f>'總表'!C22</x:f>
        <x:v>高泰琳</x:v>
      </x:c>
      <x:c r="E38" s="53" t="str">
        <x:f>'總表'!D22</x:f>
        <x:v>富予二通訊處</x:v>
      </x:c>
      <x:c r="F38" s="52" t="str">
        <x:f>'總表'!E22</x:f>
        <x:v>女</x:v>
      </x:c>
      <x:c r="G38" s="52" t="str">
        <x:f>'總表'!A22</x:f>
        <x:v>9</x:v>
      </x:c>
      <x:c r="H38" s="52" t="str">
        <x:f>'總表'!B22</x:f>
        <x:v>18</x:v>
      </x:c>
      <x:c r="I38" s="53" t="str">
        <x:f>IF('總表'!L22="","",'總表'!L22)</x:f>
      </x:c>
    </x:row>
    <x:row r="39">
      <x:c r="A39" s="52" t="str">
        <x:f>'總表'!I25</x:f>
        <x:v>第4桌</x:v>
      </x:c>
      <x:c r="B39" s="52" t="str">
        <x:f>IF('總表'!J25="","",'總表'!J25)</x:f>
        <x:v>第4組</x:v>
      </x:c>
      <x:c r="C39" s="52" t="str">
        <x:f>IF('總表'!K25="","",'總表'!K25)</x:f>
      </x:c>
      <x:c r="D39" s="53" t="str">
        <x:f>'總表'!C25</x:f>
        <x:v>賴含怡</x:v>
      </x:c>
      <x:c r="E39" s="53" t="str">
        <x:f>'總表'!D25</x:f>
        <x:v>富則通訊處</x:v>
      </x:c>
      <x:c r="F39" s="52" t="str">
        <x:f>'總表'!E25</x:f>
        <x:v>女</x:v>
      </x:c>
      <x:c r="G39" s="52" t="str">
        <x:f>'總表'!A25</x:f>
        <x:v>11</x:v>
      </x:c>
      <x:c r="H39" s="52" t="str">
        <x:f>'總表'!B25</x:f>
        <x:v>21</x:v>
      </x:c>
      <x:c r="I39" s="53" t="str">
        <x:f>IF('總表'!L25="","",'總表'!L25)</x:f>
      </x:c>
    </x:row>
    <x:row r="40">
      <x:c r="A40" s="52" t="str">
        <x:f>'總表'!I61</x:f>
        <x:v>第4桌</x:v>
      </x:c>
      <x:c r="B40" s="52" t="str">
        <x:f>IF('總表'!J61="","",'總表'!J61)</x:f>
        <x:v>第4組</x:v>
      </x:c>
      <x:c r="C40" s="52" t="str">
        <x:f>IF('總表'!K61="","",'總表'!K61)</x:f>
      </x:c>
      <x:c r="D40" s="53" t="str">
        <x:f>'總表'!C61</x:f>
        <x:v>吳沛錞</x:v>
      </x:c>
      <x:c r="E40" s="53" t="str">
        <x:f>'總表'!D61</x:f>
        <x:v>富則通訊處</x:v>
      </x:c>
      <x:c r="F40" s="52" t="str">
        <x:f>'總表'!E61</x:f>
        <x:v>女</x:v>
      </x:c>
      <x:c r="G40" s="52" t="str">
        <x:f>'總表'!A61</x:f>
        <x:v>29</x:v>
      </x:c>
      <x:c r="H40" s="52" t="str">
        <x:f>'總表'!B61</x:f>
        <x:v>57</x:v>
      </x:c>
      <x:c r="I40" s="53" t="str">
        <x:f>IF('總表'!L61="","",'總表'!L61)</x:f>
      </x:c>
    </x:row>
    <x:row r="41">
      <x:c r="A41" s="52" t="str">
        <x:f>'總表'!I66</x:f>
        <x:v>第4桌</x:v>
      </x:c>
      <x:c r="B41" s="52" t="str">
        <x:f>IF('總表'!J66="","",'總表'!J66)</x:f>
        <x:v>第4組</x:v>
      </x:c>
      <x:c r="C41" s="52" t="str">
        <x:f>IF('總表'!K66="","",'總表'!K66)</x:f>
      </x:c>
      <x:c r="D41" s="53" t="str">
        <x:f>'總表'!C66</x:f>
        <x:v>張國興</x:v>
      </x:c>
      <x:c r="E41" s="53" t="str">
        <x:f>'總表'!D66</x:f>
        <x:v>富則通訊處</x:v>
      </x:c>
      <x:c r="F41" s="52" t="str">
        <x:f>'總表'!E66</x:f>
        <x:v>男</x:v>
      </x:c>
      <x:c r="G41" s="52" t="str">
        <x:f>'總表'!A66</x:f>
        <x:v>31</x:v>
      </x:c>
      <x:c r="H41" s="52" t="str">
        <x:f>'總表'!B66</x:f>
        <x:v>62</x:v>
      </x:c>
      <x:c r="I41" s="53" t="str">
        <x:f>IF('總表'!L66="","",'總表'!L66)</x:f>
      </x:c>
    </x:row>
    <x:row r="42">
      <x:c r="A42" s="52" t="str">
        <x:f>'總表'!I70</x:f>
        <x:v>第4桌</x:v>
      </x:c>
      <x:c r="B42" s="52" t="str">
        <x:f>IF('總表'!J70="","",'總表'!J70)</x:f>
        <x:v>第4組</x:v>
      </x:c>
      <x:c r="C42" s="52" t="str">
        <x:f>IF('總表'!K70="","",'總表'!K70)</x:f>
      </x:c>
      <x:c r="D42" s="53" t="str">
        <x:f>'總表'!C70</x:f>
        <x:v>廖宇翔</x:v>
      </x:c>
      <x:c r="E42" s="53" t="str">
        <x:f>'總表'!D70</x:f>
        <x:v>富則六通訊處</x:v>
      </x:c>
      <x:c r="F42" s="52" t="str">
        <x:f>'總表'!E70</x:f>
        <x:v>男</x:v>
      </x:c>
      <x:c r="G42" s="52" t="str">
        <x:f>'總表'!A70</x:f>
        <x:v>33</x:v>
      </x:c>
      <x:c r="H42" s="52" t="str">
        <x:f>'總表'!B70</x:f>
        <x:v>66</x:v>
      </x:c>
      <x:c r="I42" s="53" t="str">
        <x:f>IF('總表'!L70="","",'總表'!L70)</x:f>
      </x:c>
    </x:row>
    <x:row r="43">
      <x:c r="A43" s="52" t="str">
        <x:f>'總表'!I72</x:f>
        <x:v>第4桌</x:v>
      </x:c>
      <x:c r="B43" s="52" t="str">
        <x:f>IF('總表'!J72="","",'總表'!J72)</x:f>
        <x:v>第4組</x:v>
      </x:c>
      <x:c r="C43" s="52" t="str">
        <x:f>IF('總表'!K72="","",'總表'!K72)</x:f>
      </x:c>
      <x:c r="D43" s="53" t="str">
        <x:f>'總表'!C72</x:f>
        <x:v>施昕余</x:v>
      </x:c>
      <x:c r="E43" s="53" t="str">
        <x:f>'總表'!D72</x:f>
        <x:v>中銘通訊處</x:v>
      </x:c>
      <x:c r="F43" s="52" t="str">
        <x:f>'總表'!E72</x:f>
        <x:v>女</x:v>
      </x:c>
      <x:c r="G43" s="52" t="str">
        <x:f>'總表'!A72</x:f>
        <x:v>34</x:v>
      </x:c>
      <x:c r="H43" s="52" t="str">
        <x:f>'總表'!B72</x:f>
        <x:v>68</x:v>
      </x:c>
      <x:c r="I43" s="53" t="str">
        <x:f>IF('總表'!L72="","",'總表'!L72)</x:f>
      </x:c>
    </x:row>
    <x:row r="44">
      <x:c r="A44" s="52" t="str">
        <x:f>'總表'!I77</x:f>
        <x:v>第4桌</x:v>
      </x:c>
      <x:c r="B44" s="52" t="str">
        <x:f>IF('總表'!J77="","",'總表'!J77)</x:f>
        <x:v>第4組</x:v>
      </x:c>
      <x:c r="C44" s="52" t="str">
        <x:f>IF('總表'!K77="","",'總表'!K77)</x:f>
      </x:c>
      <x:c r="D44" s="53" t="str">
        <x:f>'總表'!C77</x:f>
        <x:v>陳怡萍</x:v>
      </x:c>
      <x:c r="E44" s="53" t="str">
        <x:f>'總表'!D77</x:f>
        <x:v>富亨通訊處</x:v>
      </x:c>
      <x:c r="F44" s="52" t="str">
        <x:f>'總表'!E77</x:f>
        <x:v>女</x:v>
      </x:c>
      <x:c r="G44" s="52" t="str">
        <x:f>'總表'!A77</x:f>
        <x:v>37</x:v>
      </x:c>
      <x:c r="H44" s="52" t="str">
        <x:f>'總表'!B77</x:f>
        <x:v>73</x:v>
      </x:c>
      <x:c r="I44" s="53" t="str">
        <x:f>IF('總表'!L77="","",'總表'!L77)</x:f>
      </x:c>
    </x:row>
    <x:row r="45">
      <x:c r="A45" s="52" t="str">
        <x:f>'總表'!I83</x:f>
        <x:v>第4桌</x:v>
      </x:c>
      <x:c r="B45" s="52" t="str">
        <x:f>IF('總表'!J83="","",'總表'!J83)</x:f>
        <x:v>第4組</x:v>
      </x:c>
      <x:c r="C45" s="52" t="str">
        <x:f>IF('總表'!K83="","",'總表'!K83)</x:f>
      </x:c>
      <x:c r="D45" s="53" t="str">
        <x:f>'總表'!C83</x:f>
        <x:v>曾翊雯</x:v>
      </x:c>
      <x:c r="E45" s="53" t="str">
        <x:f>'總表'!D83</x:f>
        <x:v>中沐通訊處</x:v>
      </x:c>
      <x:c r="F45" s="52" t="str">
        <x:f>'總表'!E83</x:f>
        <x:v>女</x:v>
      </x:c>
      <x:c r="G45" s="52" t="str">
        <x:f>'總表'!A83</x:f>
        <x:v>40</x:v>
      </x:c>
      <x:c r="H45" s="52" t="str">
        <x:f>'總表'!B83</x:f>
        <x:v>79</x:v>
      </x:c>
      <x:c r="I45" s="53" t="str">
        <x:f>IF('總表'!L83="","",'總表'!L83)</x:f>
      </x:c>
    </x:row>
    <x:row r="46">
      <x:c r="A46" s="52" t="str">
        <x:f>'總表'!I87</x:f>
        <x:v>第4桌</x:v>
      </x:c>
      <x:c r="B46" s="52" t="str">
        <x:f>IF('總表'!J87="","",'總表'!J87)</x:f>
        <x:v>第4組</x:v>
      </x:c>
      <x:c r="C46" s="52" t="str">
        <x:f>IF('總表'!K87="","",'總表'!K87)</x:f>
        <x:v>組長</x:v>
      </x:c>
      <x:c r="D46" s="53" t="str">
        <x:f>'總表'!C87</x:f>
        <x:v>范毓斌</x:v>
      </x:c>
      <x:c r="E46" s="53" t="str">
        <x:f>'總表'!D87</x:f>
        <x:v>富占通訊處</x:v>
      </x:c>
      <x:c r="F46" s="52" t="str">
        <x:f>'總表'!E87</x:f>
        <x:v>男</x:v>
      </x:c>
      <x:c r="G46" s="52" t="str">
        <x:f>'總表'!A87</x:f>
        <x:v>42</x:v>
      </x:c>
      <x:c r="H46" s="52" t="str">
        <x:f>'總表'!B87</x:f>
        <x:v>83</x:v>
      </x:c>
      <x:c r="I46" s="53" t="str">
        <x:f>IF('總表'!L87="","",'總表'!L87)</x:f>
      </x:c>
    </x:row>
    <x:row r="47">
      <x:c r="A47" s="52" t="str">
        <x:f>'總表'!I17</x:f>
        <x:v>第5桌</x:v>
      </x:c>
      <x:c r="B47" s="52" t="str">
        <x:f>IF('總表'!J17="","",'總表'!J17)</x:f>
        <x:v>第5組</x:v>
      </x:c>
      <x:c r="C47" s="52" t="str">
        <x:f>IF('總表'!K17="","",'總表'!K17)</x:f>
      </x:c>
      <x:c r="D47" s="53" t="str">
        <x:f>'總表'!C17</x:f>
        <x:v>陳武均</x:v>
      </x:c>
      <x:c r="E47" s="53" t="str">
        <x:f>'總表'!D17</x:f>
        <x:v>富予二通訊處</x:v>
      </x:c>
      <x:c r="F47" s="52" t="str">
        <x:f>'總表'!E17</x:f>
        <x:v>男</x:v>
      </x:c>
      <x:c r="G47" s="52" t="str">
        <x:f>'總表'!A17</x:f>
        <x:v>7</x:v>
      </x:c>
      <x:c r="H47" s="52" t="str">
        <x:f>'總表'!B17</x:f>
        <x:v>13</x:v>
      </x:c>
      <x:c r="I47" s="53" t="str">
        <x:f>IF('總表'!L17="","",'總表'!L17)</x:f>
      </x:c>
    </x:row>
    <x:row r="48">
      <x:c r="A48" s="52" t="str">
        <x:f>'總表'!I18</x:f>
        <x:v>第5桌</x:v>
      </x:c>
      <x:c r="B48" s="52" t="str">
        <x:f>IF('總表'!J18="","",'總表'!J18)</x:f>
        <x:v>第5組</x:v>
      </x:c>
      <x:c r="C48" s="52" t="str">
        <x:f>IF('總表'!K18="","",'總表'!K18)</x:f>
      </x:c>
      <x:c r="D48" s="53" t="str">
        <x:f>'總表'!C18</x:f>
        <x:v>陳尚禾</x:v>
      </x:c>
      <x:c r="E48" s="53" t="str">
        <x:f>'總表'!D18</x:f>
        <x:v>富予二通訊處</x:v>
      </x:c>
      <x:c r="F48" s="52" t="str">
        <x:f>'總表'!E18</x:f>
        <x:v>男</x:v>
      </x:c>
      <x:c r="G48" s="52" t="str">
        <x:f>'總表'!A18</x:f>
        <x:v>7</x:v>
      </x:c>
      <x:c r="H48" s="52" t="str">
        <x:f>'總表'!B18</x:f>
        <x:v>14</x:v>
      </x:c>
      <x:c r="I48" s="53" t="str">
        <x:f>IF('總表'!L18="","",'總表'!L18)</x:f>
      </x:c>
    </x:row>
    <x:row r="49">
      <x:c r="A49" s="52" t="str">
        <x:f>'總表'!I27</x:f>
        <x:v>第5桌</x:v>
      </x:c>
      <x:c r="B49" s="52" t="str">
        <x:f>IF('總表'!J27="","",'總表'!J27)</x:f>
        <x:v>第5組</x:v>
      </x:c>
      <x:c r="C49" s="52" t="str">
        <x:f>IF('總表'!K27="","",'總表'!K27)</x:f>
      </x:c>
      <x:c r="D49" s="53" t="str">
        <x:f>'總表'!C27</x:f>
        <x:v>王鄆郅</x:v>
      </x:c>
      <x:c r="E49" s="53" t="str">
        <x:f>'總表'!D27</x:f>
        <x:v>富吳通訊處</x:v>
      </x:c>
      <x:c r="F49" s="52" t="str">
        <x:f>'總表'!E27</x:f>
        <x:v>男</x:v>
      </x:c>
      <x:c r="G49" s="52" t="str">
        <x:f>'總表'!A27</x:f>
        <x:v>12</x:v>
      </x:c>
      <x:c r="H49" s="52" t="str">
        <x:f>'總表'!B27</x:f>
        <x:v>23</x:v>
      </x:c>
      <x:c r="I49" s="53" t="str">
        <x:f>IF('總表'!L27="","",'總表'!L27)</x:f>
      </x:c>
    </x:row>
    <x:row r="50">
      <x:c r="A50" s="52" t="str">
        <x:f>'總表'!I33</x:f>
        <x:v>第5桌</x:v>
      </x:c>
      <x:c r="B50" s="52" t="str">
        <x:f>IF('總表'!J33="","",'總表'!J33)</x:f>
        <x:v>第5組</x:v>
      </x:c>
      <x:c r="C50" s="52" t="str">
        <x:f>IF('總表'!K33="","",'總表'!K33)</x:f>
      </x:c>
      <x:c r="D50" s="53" t="str">
        <x:f>'總表'!C33</x:f>
        <x:v>彭莉柔</x:v>
      </x:c>
      <x:c r="E50" s="53" t="str">
        <x:f>'總表'!D33</x:f>
        <x:v>富吳通訊處</x:v>
      </x:c>
      <x:c r="F50" s="52" t="str">
        <x:f>'總表'!E33</x:f>
        <x:v>女</x:v>
      </x:c>
      <x:c r="G50" s="52" t="str">
        <x:f>'總表'!A33</x:f>
        <x:v>15</x:v>
      </x:c>
      <x:c r="H50" s="52" t="str">
        <x:f>'總表'!B33</x:f>
        <x:v>29</x:v>
      </x:c>
      <x:c r="I50" s="53" t="str">
        <x:f>IF('總表'!L33="","",'總表'!L33)</x:f>
      </x:c>
    </x:row>
    <x:row r="51">
      <x:c r="A51" s="52" t="str">
        <x:f>'總表'!I47</x:f>
        <x:v>第5桌</x:v>
      </x:c>
      <x:c r="B51" s="52" t="str">
        <x:f>IF('總表'!J47="","",'總表'!J47)</x:f>
        <x:v>第5組</x:v>
      </x:c>
      <x:c r="C51" s="52" t="str">
        <x:f>IF('總表'!K47="","",'總表'!K47)</x:f>
      </x:c>
      <x:c r="D51" s="53" t="str">
        <x:f>'總表'!C47</x:f>
        <x:v>管卓鈞</x:v>
      </x:c>
      <x:c r="E51" s="53" t="str">
        <x:f>'總表'!D47</x:f>
        <x:v>富能通訊處</x:v>
      </x:c>
      <x:c r="F51" s="52" t="str">
        <x:f>'總表'!E47</x:f>
        <x:v>女</x:v>
      </x:c>
      <x:c r="G51" s="52" t="str">
        <x:f>'總表'!A47</x:f>
        <x:v>22</x:v>
      </x:c>
      <x:c r="H51" s="52" t="str">
        <x:f>'總表'!B47</x:f>
        <x:v>43</x:v>
      </x:c>
      <x:c r="I51" s="53" t="str">
        <x:f>IF('總表'!L47="","",'總表'!L47)</x:f>
      </x:c>
    </x:row>
    <x:row r="52">
      <x:c r="A52" s="52" t="str">
        <x:f>'總表'!I58</x:f>
        <x:v>第5桌</x:v>
      </x:c>
      <x:c r="B52" s="52" t="str">
        <x:f>IF('總表'!J58="","",'總表'!J58)</x:f>
        <x:v>第5組</x:v>
      </x:c>
      <x:c r="C52" s="52" t="str">
        <x:f>IF('總表'!K58="","",'總表'!K58)</x:f>
      </x:c>
      <x:c r="D52" s="53" t="str">
        <x:f>'總表'!C58</x:f>
        <x:v>林芳誼</x:v>
      </x:c>
      <x:c r="E52" s="53" t="str">
        <x:f>'總表'!D58</x:f>
        <x:v>富則通訊處</x:v>
      </x:c>
      <x:c r="F52" s="52" t="str">
        <x:f>'總表'!E58</x:f>
        <x:v>女</x:v>
      </x:c>
      <x:c r="G52" s="52" t="str">
        <x:f>'總表'!A58</x:f>
        <x:v>27</x:v>
      </x:c>
      <x:c r="H52" s="52" t="str">
        <x:f>'總表'!B58</x:f>
        <x:v>54</x:v>
      </x:c>
      <x:c r="I52" s="53" t="str">
        <x:f>IF('總表'!L58="","",'總表'!L58)</x:f>
      </x:c>
    </x:row>
    <x:row r="53">
      <x:c r="A53" s="52" t="str">
        <x:f>'總表'!I63</x:f>
        <x:v>第5桌</x:v>
      </x:c>
      <x:c r="B53" s="52" t="str">
        <x:f>IF('總表'!J63="","",'總表'!J63)</x:f>
        <x:v>第5組</x:v>
      </x:c>
      <x:c r="C53" s="52" t="str">
        <x:f>IF('總表'!K63="","",'總表'!K63)</x:f>
        <x:v>組長</x:v>
      </x:c>
      <x:c r="D53" s="53" t="str">
        <x:f>'總表'!C63</x:f>
        <x:v>李孟珊</x:v>
      </x:c>
      <x:c r="E53" s="53" t="str">
        <x:f>'總表'!D63</x:f>
        <x:v>富則通訊處</x:v>
      </x:c>
      <x:c r="F53" s="52" t="str">
        <x:f>'總表'!E63</x:f>
        <x:v>女</x:v>
      </x:c>
      <x:c r="G53" s="52" t="str">
        <x:f>'總表'!A63</x:f>
        <x:v>30</x:v>
      </x:c>
      <x:c r="H53" s="52" t="str">
        <x:f>'總表'!B63</x:f>
        <x:v>59</x:v>
      </x:c>
      <x:c r="I53" s="53" t="str">
        <x:f>IF('總表'!L63="","",'總表'!L63)</x:f>
      </x:c>
    </x:row>
    <x:row r="54">
      <x:c r="A54" s="52" t="str">
        <x:f>'總表'!I64</x:f>
        <x:v>第5桌</x:v>
      </x:c>
      <x:c r="B54" s="52" t="str">
        <x:f>IF('總表'!J64="","",'總表'!J64)</x:f>
        <x:v>第5組</x:v>
      </x:c>
      <x:c r="C54" s="52" t="str">
        <x:f>IF('總表'!K64="","",'總表'!K64)</x:f>
      </x:c>
      <x:c r="D54" s="53" t="str">
        <x:f>'總表'!C64</x:f>
        <x:v>黃馨葦</x:v>
      </x:c>
      <x:c r="E54" s="53" t="str">
        <x:f>'總表'!D64</x:f>
        <x:v>富則通訊處</x:v>
      </x:c>
      <x:c r="F54" s="52" t="str">
        <x:f>'總表'!E64</x:f>
        <x:v>女</x:v>
      </x:c>
      <x:c r="G54" s="52" t="str">
        <x:f>'總表'!A64</x:f>
        <x:v>30</x:v>
      </x:c>
      <x:c r="H54" s="52" t="str">
        <x:f>'總表'!B64</x:f>
        <x:v>60</x:v>
      </x:c>
      <x:c r="I54" s="53" t="str">
        <x:f>IF('總表'!L64="","",'總表'!L64)</x:f>
      </x:c>
    </x:row>
    <x:row r="55">
      <x:c r="A55" s="52" t="str">
        <x:f>'總表'!I88</x:f>
        <x:v>第5桌</x:v>
      </x:c>
      <x:c r="B55" s="52" t="str">
        <x:f>IF('總表'!J88="","",'總表'!J88)</x:f>
        <x:v>第5組</x:v>
      </x:c>
      <x:c r="C55" s="52" t="str">
        <x:f>IF('總表'!K88="","",'總表'!K88)</x:f>
      </x:c>
      <x:c r="D55" s="53" t="str">
        <x:f>'總表'!C88</x:f>
        <x:v>邱仲恩</x:v>
      </x:c>
      <x:c r="E55" s="53" t="str">
        <x:f>'總表'!D88</x:f>
        <x:v>富吳通訊處</x:v>
      </x:c>
      <x:c r="F55" s="52" t="str">
        <x:f>'總表'!E88</x:f>
        <x:v>男</x:v>
      </x:c>
      <x:c r="G55" s="52" t="str">
        <x:f>'總表'!A88</x:f>
        <x:v>43</x:v>
      </x:c>
      <x:c r="H55" s="52" t="str">
        <x:f>'總表'!B88</x:f>
        <x:v>84</x:v>
      </x:c>
      <x:c r="I55" s="53" t="str">
        <x:f>IF('總表'!L88="","",'總表'!L88)</x:f>
      </x:c>
    </x:row>
    <x:row r="56">
      <x:c r="A56" s="52" t="str">
        <x:f>'總表'!I6</x:f>
        <x:v>第6桌</x:v>
      </x:c>
      <x:c r="B56" s="52" t="str">
        <x:f>IF('總表'!J6="","",'總表'!J6)</x:f>
        <x:v>第6組</x:v>
      </x:c>
      <x:c r="C56" s="52" t="str">
        <x:f>IF('總表'!K6="","",'總表'!K6)</x:f>
      </x:c>
      <x:c r="D56" s="53" t="str">
        <x:f>'總表'!C6</x:f>
        <x:v>謝政男</x:v>
      </x:c>
      <x:c r="E56" s="53" t="str">
        <x:f>'總表'!D6</x:f>
        <x:v>高天通訊處</x:v>
      </x:c>
      <x:c r="F56" s="52" t="str">
        <x:f>'總表'!E6</x:f>
        <x:v>男</x:v>
      </x:c>
      <x:c r="G56" s="52" t="str">
        <x:f>'總表'!A6</x:f>
        <x:v>1</x:v>
      </x:c>
      <x:c r="H56" s="52" t="str">
        <x:f>'總表'!B6</x:f>
        <x:v>2</x:v>
      </x:c>
      <x:c r="I56" s="53" t="str">
        <x:f>IF('總表'!L6="","",'總表'!L6)</x:f>
      </x:c>
    </x:row>
    <x:row r="57">
      <x:c r="A57" s="52" t="str">
        <x:f>'總表'!I23</x:f>
        <x:v>第6桌</x:v>
      </x:c>
      <x:c r="B57" s="52" t="str">
        <x:f>IF('總表'!J23="","",'總表'!J23)</x:f>
        <x:v>第6組</x:v>
      </x:c>
      <x:c r="C57" s="52" t="str">
        <x:f>IF('總表'!K23="","",'總表'!K23)</x:f>
      </x:c>
      <x:c r="D57" s="53" t="str">
        <x:f>'總表'!C23</x:f>
        <x:v>許瓊云</x:v>
      </x:c>
      <x:c r="E57" s="53" t="str">
        <x:f>'總表'!D23</x:f>
        <x:v>富予二通訊處</x:v>
      </x:c>
      <x:c r="F57" s="52" t="str">
        <x:f>'總表'!E23</x:f>
        <x:v>女</x:v>
      </x:c>
      <x:c r="G57" s="52" t="str">
        <x:f>'總表'!A23</x:f>
        <x:v>10</x:v>
      </x:c>
      <x:c r="H57" s="52" t="str">
        <x:f>'總表'!B23</x:f>
        <x:v>19</x:v>
      </x:c>
      <x:c r="I57" s="53" t="str">
        <x:f>IF('總表'!L23="","",'總表'!L23)</x:f>
      </x:c>
    </x:row>
    <x:row r="58">
      <x:c r="A58" s="52" t="str">
        <x:f>'總表'!I36</x:f>
        <x:v>第6桌</x:v>
      </x:c>
      <x:c r="B58" s="52" t="str">
        <x:f>IF('總表'!J36="","",'總表'!J36)</x:f>
        <x:v>第6組</x:v>
      </x:c>
      <x:c r="C58" s="52" t="str">
        <x:f>IF('總表'!K36="","",'總表'!K36)</x:f>
      </x:c>
      <x:c r="D58" s="53" t="str">
        <x:f>'總表'!C36</x:f>
        <x:v>林建璋</x:v>
      </x:c>
      <x:c r="E58" s="53" t="str">
        <x:f>'總表'!D36</x:f>
        <x:v>富吳通訊處</x:v>
      </x:c>
      <x:c r="F58" s="52" t="str">
        <x:f>'總表'!E36</x:f>
        <x:v>男</x:v>
      </x:c>
      <x:c r="G58" s="52" t="str">
        <x:f>'總表'!A36</x:f>
        <x:v>16</x:v>
      </x:c>
      <x:c r="H58" s="52" t="str">
        <x:f>'總表'!B36</x:f>
        <x:v>32</x:v>
      </x:c>
      <x:c r="I58" s="53" t="str">
        <x:f>IF('總表'!L36="","",'總表'!L36)</x:f>
      </x:c>
    </x:row>
    <x:row r="59">
      <x:c r="A59" s="52" t="str">
        <x:f>'總表'!I43</x:f>
        <x:v>第6桌</x:v>
      </x:c>
      <x:c r="B59" s="52" t="str">
        <x:f>IF('總表'!J43="","",'總表'!J43)</x:f>
        <x:v>第6組</x:v>
      </x:c>
      <x:c r="C59" s="52" t="str">
        <x:f>IF('總表'!K43="","",'總表'!K43)</x:f>
      </x:c>
      <x:c r="D59" s="53" t="str">
        <x:f>'總表'!C43</x:f>
        <x:v>許嘉晉</x:v>
      </x:c>
      <x:c r="E59" s="53" t="str">
        <x:f>'總表'!D43</x:f>
        <x:v>富則通訊處</x:v>
      </x:c>
      <x:c r="F59" s="52" t="str">
        <x:f>'總表'!E43</x:f>
        <x:v>男</x:v>
      </x:c>
      <x:c r="G59" s="52" t="str">
        <x:f>'總表'!A43</x:f>
        <x:v>20</x:v>
      </x:c>
      <x:c r="H59" s="52" t="str">
        <x:f>'總表'!B43</x:f>
        <x:v>39</x:v>
      </x:c>
      <x:c r="I59" s="53" t="str">
        <x:f>IF('總表'!L43="","",'總表'!L43)</x:f>
      </x:c>
    </x:row>
    <x:row r="60">
      <x:c r="A60" s="52" t="str">
        <x:f>'總表'!I53</x:f>
        <x:v>第6桌</x:v>
      </x:c>
      <x:c r="B60" s="52" t="str">
        <x:f>IF('總表'!J53="","",'總表'!J53)</x:f>
        <x:v>第6組</x:v>
      </x:c>
      <x:c r="C60" s="52" t="str">
        <x:f>IF('總表'!K53="","",'總表'!K53)</x:f>
      </x:c>
      <x:c r="D60" s="53" t="str">
        <x:f>'總表'!C53</x:f>
        <x:v>鍾怡婷</x:v>
      </x:c>
      <x:c r="E60" s="53" t="str">
        <x:f>'總表'!D53</x:f>
        <x:v>富占通訊處</x:v>
      </x:c>
      <x:c r="F60" s="52" t="str">
        <x:f>'總表'!E53</x:f>
        <x:v>女</x:v>
      </x:c>
      <x:c r="G60" s="52" t="str">
        <x:f>'總表'!A53</x:f>
        <x:v>25</x:v>
      </x:c>
      <x:c r="H60" s="52" t="str">
        <x:f>'總表'!B53</x:f>
        <x:v>49</x:v>
      </x:c>
      <x:c r="I60" s="53" t="str">
        <x:f>IF('總表'!L53="","",'總表'!L53)</x:f>
      </x:c>
    </x:row>
    <x:row r="61">
      <x:c r="A61" s="52" t="str">
        <x:f>'總表'!I57</x:f>
        <x:v>第6桌</x:v>
      </x:c>
      <x:c r="B61" s="52" t="str">
        <x:f>IF('總表'!J57="","",'總表'!J57)</x:f>
        <x:v>第6組</x:v>
      </x:c>
      <x:c r="C61" s="52" t="str">
        <x:f>IF('總表'!K57="","",'總表'!K57)</x:f>
      </x:c>
      <x:c r="D61" s="53" t="str">
        <x:f>'總表'!C57</x:f>
        <x:v>吳品萱</x:v>
      </x:c>
      <x:c r="E61" s="53" t="str">
        <x:f>'總表'!D57</x:f>
        <x:v>富則通訊處</x:v>
      </x:c>
      <x:c r="F61" s="52" t="str">
        <x:f>'總表'!E57</x:f>
        <x:v>女</x:v>
      </x:c>
      <x:c r="G61" s="52" t="str">
        <x:f>'總表'!A57</x:f>
        <x:v>27</x:v>
      </x:c>
      <x:c r="H61" s="52" t="str">
        <x:f>'總表'!B57</x:f>
        <x:v>53</x:v>
      </x:c>
      <x:c r="I61" s="53" t="str">
        <x:f>IF('總表'!L57="","",'總表'!L57)</x:f>
      </x:c>
    </x:row>
    <x:row r="62">
      <x:c r="A62" s="52" t="str">
        <x:f>'總表'!I69</x:f>
        <x:v>第6桌</x:v>
      </x:c>
      <x:c r="B62" s="52" t="str">
        <x:f>IF('總表'!J69="","",'總表'!J69)</x:f>
        <x:v>第6組</x:v>
      </x:c>
      <x:c r="C62" s="52" t="str">
        <x:f>IF('總表'!K69="","",'總表'!K69)</x:f>
        <x:v>組長</x:v>
      </x:c>
      <x:c r="D62" s="53" t="str">
        <x:f>'總表'!C69</x:f>
        <x:v>洪敬忠</x:v>
      </x:c>
      <x:c r="E62" s="53" t="str">
        <x:f>'總表'!D69</x:f>
        <x:v>富則六通訊處</x:v>
      </x:c>
      <x:c r="F62" s="52" t="str">
        <x:f>'總表'!E69</x:f>
        <x:v>男</x:v>
      </x:c>
      <x:c r="G62" s="52" t="str">
        <x:f>'總表'!A69</x:f>
        <x:v>33</x:v>
      </x:c>
      <x:c r="H62" s="52" t="str">
        <x:f>'總表'!B69</x:f>
        <x:v>65</x:v>
      </x:c>
      <x:c r="I62" s="53" t="str">
        <x:f>IF('總表'!L69="","",'總表'!L69)</x:f>
      </x:c>
    </x:row>
    <x:row r="63">
      <x:c r="A63" s="52" t="str">
        <x:f>'總表'!I76</x:f>
        <x:v>第6桌</x:v>
      </x:c>
      <x:c r="B63" s="52" t="str">
        <x:f>IF('總表'!J76="","",'總表'!J76)</x:f>
        <x:v>第6組</x:v>
      </x:c>
      <x:c r="C63" s="52" t="str">
        <x:f>IF('總表'!K76="","",'總表'!K76)</x:f>
      </x:c>
      <x:c r="D63" s="53" t="str">
        <x:f>'總表'!C76</x:f>
        <x:v>林宏威</x:v>
      </x:c>
      <x:c r="E63" s="53" t="str">
        <x:f>'總表'!D76</x:f>
        <x:v>富亨通訊處</x:v>
      </x:c>
      <x:c r="F63" s="52" t="str">
        <x:f>'總表'!E76</x:f>
        <x:v>男</x:v>
      </x:c>
      <x:c r="G63" s="52" t="str">
        <x:f>'總表'!A76</x:f>
        <x:v>36</x:v>
      </x:c>
      <x:c r="H63" s="52" t="str">
        <x:f>'總表'!B76</x:f>
        <x:v>72</x:v>
      </x:c>
      <x:c r="I63" s="53" t="str">
        <x:f>IF('總表'!L76="","",'總表'!L76)</x:f>
      </x:c>
    </x:row>
    <x:row r="64">
      <x:c r="A64" s="52" t="str">
        <x:f>'總表'!I79</x:f>
        <x:v>第6桌</x:v>
      </x:c>
      <x:c r="B64" s="52" t="str">
        <x:f>IF('總表'!J79="","",'總表'!J79)</x:f>
        <x:v>第6組</x:v>
      </x:c>
      <x:c r="C64" s="52" t="str">
        <x:f>IF('總表'!K79="","",'總表'!K79)</x:f>
      </x:c>
      <x:c r="D64" s="53" t="str">
        <x:f>'總表'!C79</x:f>
        <x:v>陳龍生</x:v>
      </x:c>
      <x:c r="E64" s="53" t="str">
        <x:f>'總表'!D79</x:f>
        <x:v>富鑽通訊處</x:v>
      </x:c>
      <x:c r="F64" s="52" t="str">
        <x:f>'總表'!E79</x:f>
        <x:v>男</x:v>
      </x:c>
      <x:c r="G64" s="52" t="str">
        <x:f>'總表'!A79</x:f>
        <x:v>38</x:v>
      </x:c>
      <x:c r="H64" s="52" t="str">
        <x:f>'總表'!B79</x:f>
        <x:v>75</x:v>
      </x:c>
      <x:c r="I64" s="53" t="str">
        <x:f>IF('總表'!L79="","",'總表'!L79)</x:f>
      </x:c>
    </x:row>
    <x:row r="65">
      <x:c r="A65" s="52" t="str">
        <x:f>'總表'!I12</x:f>
        <x:v>第7桌</x:v>
      </x:c>
      <x:c r="B65" s="52" t="str">
        <x:f>IF('總表'!J12="","",'總表'!J12)</x:f>
        <x:v>第7組</x:v>
      </x:c>
      <x:c r="C65" s="52" t="str">
        <x:f>IF('總表'!K12="","",'總表'!K12)</x:f>
      </x:c>
      <x:c r="D65" s="53" t="str">
        <x:f>'總表'!C12</x:f>
        <x:v>詹政杰</x:v>
      </x:c>
      <x:c r="E65" s="53" t="str">
        <x:f>'總表'!D12</x:f>
        <x:v>高天通訊處</x:v>
      </x:c>
      <x:c r="F65" s="52" t="str">
        <x:f>'總表'!E12</x:f>
        <x:v>男</x:v>
      </x:c>
      <x:c r="G65" s="52" t="str">
        <x:f>'總表'!A12</x:f>
        <x:v>4</x:v>
      </x:c>
      <x:c r="H65" s="52" t="str">
        <x:f>'總表'!B12</x:f>
        <x:v>8</x:v>
      </x:c>
      <x:c r="I65" s="53" t="str">
        <x:f>IF('總表'!L12="","",'總表'!L12)</x:f>
      </x:c>
    </x:row>
    <x:row r="66">
      <x:c r="A66" s="52" t="str">
        <x:f>'總表'!I14</x:f>
        <x:v>第7桌</x:v>
      </x:c>
      <x:c r="B66" s="52" t="str">
        <x:f>IF('總表'!J14="","",'總表'!J14)</x:f>
        <x:v>第7組</x:v>
      </x:c>
      <x:c r="C66" s="52" t="str">
        <x:f>IF('總表'!K14="","",'總表'!K14)</x:f>
      </x:c>
      <x:c r="D66" s="53" t="str">
        <x:f>'總表'!C14</x:f>
        <x:v>陳懷柔</x:v>
      </x:c>
      <x:c r="E66" s="53" t="str">
        <x:f>'總表'!D14</x:f>
        <x:v>高天通訊處</x:v>
      </x:c>
      <x:c r="F66" s="52" t="str">
        <x:f>'總表'!E14</x:f>
        <x:v>女</x:v>
      </x:c>
      <x:c r="G66" s="52" t="str">
        <x:f>'總表'!A14</x:f>
        <x:v>5</x:v>
      </x:c>
      <x:c r="H66" s="52" t="str">
        <x:f>'總表'!B14</x:f>
        <x:v>10</x:v>
      </x:c>
      <x:c r="I66" s="53" t="str">
        <x:f>IF('總表'!L14="","",'總表'!L14)</x:f>
      </x:c>
    </x:row>
    <x:row r="67">
      <x:c r="A67" s="52" t="str">
        <x:f>'總表'!I19</x:f>
        <x:v>第7桌</x:v>
      </x:c>
      <x:c r="B67" s="52" t="str">
        <x:f>IF('總表'!J19="","",'總表'!J19)</x:f>
        <x:v>第7組</x:v>
      </x:c>
      <x:c r="C67" s="52" t="str">
        <x:f>IF('總表'!K19="","",'總表'!K19)</x:f>
        <x:v>組長</x:v>
      </x:c>
      <x:c r="D67" s="53" t="str">
        <x:f>'總表'!C19</x:f>
        <x:v>陳昶聿</x:v>
      </x:c>
      <x:c r="E67" s="53" t="str">
        <x:f>'總表'!D19</x:f>
        <x:v>富予二通訊處</x:v>
      </x:c>
      <x:c r="F67" s="52" t="str">
        <x:f>'總表'!E19</x:f>
        <x:v>男</x:v>
      </x:c>
      <x:c r="G67" s="52" t="str">
        <x:f>'總表'!A19</x:f>
        <x:v>8</x:v>
      </x:c>
      <x:c r="H67" s="52" t="str">
        <x:f>'總表'!B19</x:f>
        <x:v>15</x:v>
      </x:c>
      <x:c r="I67" s="53" t="str">
        <x:f>IF('總表'!L19="","",'總表'!L19)</x:f>
      </x:c>
    </x:row>
    <x:row r="68">
      <x:c r="A68" s="52" t="str">
        <x:f>'總表'!I35</x:f>
        <x:v>第7桌</x:v>
      </x:c>
      <x:c r="B68" s="52" t="str">
        <x:f>IF('總表'!J35="","",'總表'!J35)</x:f>
        <x:v>第7組</x:v>
      </x:c>
      <x:c r="C68" s="52" t="str">
        <x:f>IF('總表'!K35="","",'總表'!K35)</x:f>
      </x:c>
      <x:c r="D68" s="53" t="str">
        <x:f>'總表'!C35</x:f>
        <x:v>周易慶</x:v>
      </x:c>
      <x:c r="E68" s="53" t="str">
        <x:f>'總表'!D35</x:f>
        <x:v>富吳通訊處</x:v>
      </x:c>
      <x:c r="F68" s="52" t="str">
        <x:f>'總表'!E35</x:f>
        <x:v>男</x:v>
      </x:c>
      <x:c r="G68" s="52" t="str">
        <x:f>'總表'!A35</x:f>
        <x:v>16</x:v>
      </x:c>
      <x:c r="H68" s="52" t="str">
        <x:f>'總表'!B35</x:f>
        <x:v>31</x:v>
      </x:c>
      <x:c r="I68" s="53" t="str">
        <x:f>IF('總表'!L35="","",'總表'!L35)</x:f>
      </x:c>
    </x:row>
    <x:row r="69">
      <x:c r="A69" s="52" t="str">
        <x:f>'總表'!I40</x:f>
        <x:v>第7桌</x:v>
      </x:c>
      <x:c r="B69" s="52" t="str">
        <x:f>IF('總表'!J40="","",'總表'!J40)</x:f>
        <x:v>第7組</x:v>
      </x:c>
      <x:c r="C69" s="52" t="str">
        <x:f>IF('總表'!K40="","",'總表'!K40)</x:f>
      </x:c>
      <x:c r="D69" s="53" t="str">
        <x:f>'總表'!C40</x:f>
        <x:v>謝宇軒</x:v>
      </x:c>
      <x:c r="E69" s="53" t="str">
        <x:f>'總表'!D40</x:f>
        <x:v>富吳通訊處</x:v>
      </x:c>
      <x:c r="F69" s="52" t="str">
        <x:f>'總表'!E40</x:f>
        <x:v>男</x:v>
      </x:c>
      <x:c r="G69" s="52" t="str">
        <x:f>'總表'!A40</x:f>
        <x:v>18</x:v>
      </x:c>
      <x:c r="H69" s="52" t="str">
        <x:f>'總表'!B40</x:f>
        <x:v>36</x:v>
      </x:c>
      <x:c r="I69" s="53" t="str">
        <x:f>IF('總表'!L40="","",'總表'!L40)</x:f>
      </x:c>
    </x:row>
    <x:row r="70">
      <x:c r="A70" s="52" t="str">
        <x:f>'總表'!I41</x:f>
        <x:v>第7桌</x:v>
      </x:c>
      <x:c r="B70" s="52" t="str">
        <x:f>IF('總表'!J41="","",'總表'!J41)</x:f>
        <x:v>第7組</x:v>
      </x:c>
      <x:c r="C70" s="52" t="str">
        <x:f>IF('總表'!K41="","",'總表'!K41)</x:f>
      </x:c>
      <x:c r="D70" s="53" t="str">
        <x:f>'總表'!C41</x:f>
        <x:v>戴孜安</x:v>
      </x:c>
      <x:c r="E70" s="53" t="str">
        <x:f>'總表'!D41</x:f>
        <x:v>富吳通訊處</x:v>
      </x:c>
      <x:c r="F70" s="52" t="str">
        <x:f>'總表'!E41</x:f>
        <x:v>女</x:v>
      </x:c>
      <x:c r="G70" s="52" t="str">
        <x:f>'總表'!A41</x:f>
        <x:v>19</x:v>
      </x:c>
      <x:c r="H70" s="52" t="str">
        <x:f>'總表'!B41</x:f>
        <x:v>37</x:v>
      </x:c>
      <x:c r="I70" s="53" t="str">
        <x:f>IF('總表'!L41="","",'總表'!L41)</x:f>
      </x:c>
    </x:row>
    <x:row r="71">
      <x:c r="A71" s="52" t="str">
        <x:f>'總表'!I49</x:f>
        <x:v>第7桌</x:v>
      </x:c>
      <x:c r="B71" s="52" t="str">
        <x:f>IF('總表'!J49="","",'總表'!J49)</x:f>
        <x:v>第7組</x:v>
      </x:c>
      <x:c r="C71" s="52" t="str">
        <x:f>IF('總表'!K49="","",'總表'!K49)</x:f>
      </x:c>
      <x:c r="D71" s="53" t="str">
        <x:f>'總表'!C49</x:f>
        <x:v>簡姵萱</x:v>
      </x:c>
      <x:c r="E71" s="53" t="str">
        <x:f>'總表'!D49</x:f>
        <x:v>富能通訊處</x:v>
      </x:c>
      <x:c r="F71" s="52" t="str">
        <x:f>'總表'!E49</x:f>
        <x:v>女</x:v>
      </x:c>
      <x:c r="G71" s="52" t="str">
        <x:f>'總表'!A49</x:f>
        <x:v>23</x:v>
      </x:c>
      <x:c r="H71" s="52" t="str">
        <x:f>'總表'!B49</x:f>
        <x:v>45</x:v>
      </x:c>
      <x:c r="I71" s="53" t="str">
        <x:f>IF('總表'!L49="","",'總表'!L49)</x:f>
      </x:c>
    </x:row>
    <x:row r="72">
      <x:c r="A72" s="52" t="str">
        <x:f>'總表'!I60</x:f>
        <x:v>第7桌</x:v>
      </x:c>
      <x:c r="B72" s="52" t="str">
        <x:f>IF('總表'!J60="","",'總表'!J60)</x:f>
        <x:v>第7組</x:v>
      </x:c>
      <x:c r="C72" s="52" t="str">
        <x:f>IF('總表'!K60="","",'總表'!K60)</x:f>
      </x:c>
      <x:c r="D72" s="53" t="str">
        <x:f>'總表'!C60</x:f>
        <x:v>余若馨</x:v>
      </x:c>
      <x:c r="E72" s="53" t="str">
        <x:f>'總表'!D60</x:f>
        <x:v>富則通訊處</x:v>
      </x:c>
      <x:c r="F72" s="52" t="str">
        <x:f>'總表'!E60</x:f>
        <x:v>女</x:v>
      </x:c>
      <x:c r="G72" s="52" t="str">
        <x:f>'總表'!A60</x:f>
        <x:v>28</x:v>
      </x:c>
      <x:c r="H72" s="52" t="str">
        <x:f>'總表'!B60</x:f>
        <x:v>56</x:v>
      </x:c>
      <x:c r="I72" s="53" t="str">
        <x:f>IF('總表'!L60="","",'總表'!L60)</x:f>
      </x:c>
    </x:row>
    <x:row r="73">
      <x:c r="A73" s="52" t="str">
        <x:f>'總表'!I81</x:f>
        <x:v>第7桌</x:v>
      </x:c>
      <x:c r="B73" s="52" t="str">
        <x:f>IF('總表'!J81="","",'總表'!J81)</x:f>
        <x:v>第7組</x:v>
      </x:c>
      <x:c r="C73" s="52" t="str">
        <x:f>IF('總表'!K81="","",'總表'!K81)</x:f>
      </x:c>
      <x:c r="D73" s="53" t="str">
        <x:f>'總表'!C81</x:f>
        <x:v>吳士侃</x:v>
      </x:c>
      <x:c r="E73" s="53" t="str">
        <x:f>'總表'!D81</x:f>
        <x:v>富北通訊處</x:v>
      </x:c>
      <x:c r="F73" s="52" t="str">
        <x:f>'總表'!E81</x:f>
        <x:v>男</x:v>
      </x:c>
      <x:c r="G73" s="52" t="str">
        <x:f>'總表'!A81</x:f>
        <x:v>39</x:v>
      </x:c>
      <x:c r="H73" s="52" t="str">
        <x:f>'總表'!B81</x:f>
        <x:v>77</x:v>
      </x:c>
      <x:c r="I73" s="53" t="str">
        <x:f>IF('總表'!L81="","",'總表'!L81)</x:f>
      </x:c>
    </x:row>
    <x:row r="74">
      <x:c r="A74" s="52" t="str">
        <x:f>'總表'!I10</x:f>
        <x:v>第8桌</x:v>
      </x:c>
      <x:c r="B74" s="52" t="str">
        <x:f>IF('總表'!J10="","",'總表'!J10)</x:f>
        <x:v>第8組</x:v>
      </x:c>
      <x:c r="C74" s="52" t="str">
        <x:f>IF('總表'!K10="","",'總表'!K10)</x:f>
      </x:c>
      <x:c r="D74" s="53" t="str">
        <x:f>'總表'!C10</x:f>
        <x:v>何宜庭</x:v>
      </x:c>
      <x:c r="E74" s="53" t="str">
        <x:f>'總表'!D10</x:f>
        <x:v>高天通訊處</x:v>
      </x:c>
      <x:c r="F74" s="52" t="str">
        <x:f>'總表'!E10</x:f>
        <x:v>女</x:v>
      </x:c>
      <x:c r="G74" s="52" t="str">
        <x:f>'總表'!A10</x:f>
        <x:v>3</x:v>
      </x:c>
      <x:c r="H74" s="52" t="str">
        <x:f>'總表'!B10</x:f>
        <x:v>6</x:v>
      </x:c>
      <x:c r="I74" s="53" t="str">
        <x:f>IF('總表'!L10="","",'總表'!L10)</x:f>
      </x:c>
    </x:row>
    <x:row r="75">
      <x:c r="A75" s="52" t="str">
        <x:f>'總表'!I31</x:f>
        <x:v>第8桌</x:v>
      </x:c>
      <x:c r="B75" s="52" t="str">
        <x:f>IF('總表'!J31="","",'總表'!J31)</x:f>
        <x:v>第8組</x:v>
      </x:c>
      <x:c r="C75" s="52" t="str">
        <x:f>IF('總表'!K31="","",'總表'!K31)</x:f>
      </x:c>
      <x:c r="D75" s="53" t="str">
        <x:f>'總表'!C31</x:f>
        <x:v>呂顏伃</x:v>
      </x:c>
      <x:c r="E75" s="53" t="str">
        <x:f>'總表'!D31</x:f>
        <x:v>富吳通訊處</x:v>
      </x:c>
      <x:c r="F75" s="52" t="str">
        <x:f>'總表'!E31</x:f>
        <x:v>女</x:v>
      </x:c>
      <x:c r="G75" s="52" t="str">
        <x:f>'總表'!A31</x:f>
        <x:v>14</x:v>
      </x:c>
      <x:c r="H75" s="52" t="str">
        <x:f>'總表'!B31</x:f>
        <x:v>27</x:v>
      </x:c>
      <x:c r="I75" s="53" t="str">
        <x:f>IF('總表'!L31="","",'總表'!L31)</x:f>
      </x:c>
    </x:row>
    <x:row r="76">
      <x:c r="A76" s="52" t="str">
        <x:f>'總表'!I32</x:f>
        <x:v>第8桌</x:v>
      </x:c>
      <x:c r="B76" s="52" t="str">
        <x:f>IF('總表'!J32="","",'總表'!J32)</x:f>
        <x:v>第8組</x:v>
      </x:c>
      <x:c r="C76" s="52" t="str">
        <x:f>IF('總表'!K32="","",'總表'!K32)</x:f>
      </x:c>
      <x:c r="D76" s="53" t="str">
        <x:f>'總表'!C32</x:f>
        <x:v>陳怡諳</x:v>
      </x:c>
      <x:c r="E76" s="53" t="str">
        <x:f>'總表'!D32</x:f>
        <x:v>富吳通訊處</x:v>
      </x:c>
      <x:c r="F76" s="52" t="str">
        <x:f>'總表'!E32</x:f>
        <x:v>女</x:v>
      </x:c>
      <x:c r="G76" s="52" t="str">
        <x:f>'總表'!A32</x:f>
        <x:v>14</x:v>
      </x:c>
      <x:c r="H76" s="52" t="str">
        <x:f>'總表'!B32</x:f>
        <x:v>28</x:v>
      </x:c>
      <x:c r="I76" s="53" t="str">
        <x:f>IF('總表'!L32="","",'總表'!L32)</x:f>
      </x:c>
    </x:row>
    <x:row r="77">
      <x:c r="A77" s="52" t="str">
        <x:f>'總表'!I37</x:f>
        <x:v>第8桌</x:v>
      </x:c>
      <x:c r="B77" s="52" t="str">
        <x:f>IF('總表'!J37="","",'總表'!J37)</x:f>
        <x:v>第8組</x:v>
      </x:c>
      <x:c r="C77" s="52" t="str">
        <x:f>IF('總表'!K37="","",'總表'!K37)</x:f>
      </x:c>
      <x:c r="D77" s="53" t="str">
        <x:f>'總表'!C37</x:f>
        <x:v>李奕寬</x:v>
      </x:c>
      <x:c r="E77" s="53" t="str">
        <x:f>'總表'!D37</x:f>
        <x:v>富吳通訊處</x:v>
      </x:c>
      <x:c r="F77" s="52" t="str">
        <x:f>'總表'!E37</x:f>
        <x:v>男</x:v>
      </x:c>
      <x:c r="G77" s="52" t="str">
        <x:f>'總表'!A37</x:f>
        <x:v>17</x:v>
      </x:c>
      <x:c r="H77" s="52" t="str">
        <x:f>'總表'!B37</x:f>
        <x:v>33</x:v>
      </x:c>
      <x:c r="I77" s="53" t="str">
        <x:f>IF('總表'!L37="","",'總表'!L37)</x:f>
      </x:c>
    </x:row>
    <x:row r="78">
      <x:c r="A78" s="52" t="str">
        <x:f>'總表'!I50</x:f>
        <x:v>第8桌</x:v>
      </x:c>
      <x:c r="B78" s="52" t="str">
        <x:f>IF('總表'!J50="","",'總表'!J50)</x:f>
        <x:v>第8組</x:v>
      </x:c>
      <x:c r="C78" s="52" t="str">
        <x:f>IF('總表'!K50="","",'總表'!K50)</x:f>
      </x:c>
      <x:c r="D78" s="53" t="str">
        <x:f>'總表'!C50</x:f>
        <x:v>潘韻竹</x:v>
      </x:c>
      <x:c r="E78" s="53" t="str">
        <x:f>'總表'!D50</x:f>
        <x:v>富則通訊處</x:v>
      </x:c>
      <x:c r="F78" s="52" t="str">
        <x:f>'總表'!E50</x:f>
        <x:v>女</x:v>
      </x:c>
      <x:c r="G78" s="52" t="str">
        <x:f>'總表'!A50</x:f>
        <x:v>23</x:v>
      </x:c>
      <x:c r="H78" s="52" t="str">
        <x:f>'總表'!B50</x:f>
        <x:v>46</x:v>
      </x:c>
      <x:c r="I78" s="53" t="str">
        <x:f>IF('總表'!L50="","",'總表'!L50)</x:f>
      </x:c>
    </x:row>
    <x:row r="79">
      <x:c r="A79" s="52" t="str">
        <x:f>'總表'!I51</x:f>
        <x:v>第8桌</x:v>
      </x:c>
      <x:c r="B79" s="52" t="str">
        <x:f>IF('總表'!J51="","",'總表'!J51)</x:f>
        <x:v>第8組</x:v>
      </x:c>
      <x:c r="C79" s="52" t="str">
        <x:f>IF('總表'!K51="","",'總表'!K51)</x:f>
      </x:c>
      <x:c r="D79" s="53" t="str">
        <x:f>'總表'!C51</x:f>
        <x:v>傅佳旻</x:v>
      </x:c>
      <x:c r="E79" s="53" t="str">
        <x:f>'總表'!D51</x:f>
        <x:v>富占通訊處</x:v>
      </x:c>
      <x:c r="F79" s="52" t="str">
        <x:f>'總表'!E51</x:f>
        <x:v>女</x:v>
      </x:c>
      <x:c r="G79" s="52" t="str">
        <x:f>'總表'!A51</x:f>
        <x:v>24</x:v>
      </x:c>
      <x:c r="H79" s="52" t="str">
        <x:f>'總表'!B51</x:f>
        <x:v>47</x:v>
      </x:c>
      <x:c r="I79" s="53" t="str">
        <x:f>IF('總表'!L51="","",'總表'!L51)</x:f>
      </x:c>
    </x:row>
    <x:row r="80">
      <x:c r="A80" s="52" t="str">
        <x:f>'總表'!I56</x:f>
        <x:v>第8桌</x:v>
      </x:c>
      <x:c r="B80" s="52" t="str">
        <x:f>IF('總表'!J56="","",'總表'!J56)</x:f>
        <x:v>第8組</x:v>
      </x:c>
      <x:c r="C80" s="52" t="str">
        <x:f>IF('總表'!K56="","",'總表'!K56)</x:f>
      </x:c>
      <x:c r="D80" s="53" t="str">
        <x:f>'總表'!C56</x:f>
        <x:v>王思嵐</x:v>
      </x:c>
      <x:c r="E80" s="53" t="str">
        <x:f>'總表'!D56</x:f>
        <x:v>富則通訊處</x:v>
      </x:c>
      <x:c r="F80" s="52" t="str">
        <x:f>'總表'!E56</x:f>
        <x:v>女</x:v>
      </x:c>
      <x:c r="G80" s="52" t="str">
        <x:f>'總表'!A56</x:f>
        <x:v>26</x:v>
      </x:c>
      <x:c r="H80" s="52" t="str">
        <x:f>'總表'!B56</x:f>
        <x:v>52</x:v>
      </x:c>
      <x:c r="I80" s="53" t="str">
        <x:f>IF('總表'!L56="","",'總表'!L56)</x:f>
      </x:c>
    </x:row>
    <x:row r="81">
      <x:c r="A81" s="52" t="str">
        <x:f>'總表'!I71</x:f>
        <x:v>第8桌</x:v>
      </x:c>
      <x:c r="B81" s="52" t="str">
        <x:f>IF('總表'!J71="","",'總表'!J71)</x:f>
        <x:v>第8組</x:v>
      </x:c>
      <x:c r="C81" s="52" t="str">
        <x:f>IF('總表'!K71="","",'總表'!K71)</x:f>
        <x:v>組長</x:v>
      </x:c>
      <x:c r="D81" s="53" t="str">
        <x:f>'總表'!C71</x:f>
        <x:v>張祐珮</x:v>
      </x:c>
      <x:c r="E81" s="53" t="str">
        <x:f>'總表'!D71</x:f>
        <x:v>富后通訊處</x:v>
      </x:c>
      <x:c r="F81" s="52" t="str">
        <x:f>'總表'!E71</x:f>
        <x:v>女</x:v>
      </x:c>
      <x:c r="G81" s="52" t="str">
        <x:f>'總表'!A71</x:f>
        <x:v>34</x:v>
      </x:c>
      <x:c r="H81" s="52" t="str">
        <x:f>'總表'!B71</x:f>
        <x:v>67</x:v>
      </x:c>
      <x:c r="I81" s="53" t="str">
        <x:f>IF('總表'!L71="","",'總表'!L71)</x:f>
      </x:c>
    </x:row>
    <x:row r="82">
      <x:c r="A82" s="52" t="str">
        <x:f>'總表'!I5</x:f>
        <x:v>第9桌</x:v>
      </x:c>
      <x:c r="B82" s="52" t="str">
        <x:f>IF('總表'!J5="","",'總表'!J5)</x:f>
        <x:v>第9組</x:v>
      </x:c>
      <x:c r="C82" s="52" t="str">
        <x:f>IF('總表'!K5="","",'總表'!K5)</x:f>
        <x:v>組長</x:v>
      </x:c>
      <x:c r="D82" s="53" t="str">
        <x:f>'總表'!C5</x:f>
        <x:v>許智雄</x:v>
      </x:c>
      <x:c r="E82" s="53" t="str">
        <x:f>'總表'!D5</x:f>
        <x:v>高天通訊處</x:v>
      </x:c>
      <x:c r="F82" s="52" t="str">
        <x:f>'總表'!E5</x:f>
        <x:v>男</x:v>
      </x:c>
      <x:c r="G82" s="52" t="str">
        <x:f>'總表'!A5</x:f>
        <x:v>1</x:v>
      </x:c>
      <x:c r="H82" s="52" t="str">
        <x:f>'總表'!B5</x:f>
        <x:v>1</x:v>
      </x:c>
      <x:c r="I82" s="53" t="str">
        <x:f>IF('總表'!L5="","",'總表'!L5)</x:f>
      </x:c>
    </x:row>
    <x:row r="83">
      <x:c r="A83" s="52" t="str">
        <x:f>'總表'!I13</x:f>
        <x:v>第9桌</x:v>
      </x:c>
      <x:c r="B83" s="52" t="str">
        <x:f>IF('總表'!J13="","",'總表'!J13)</x:f>
        <x:v>第9組</x:v>
      </x:c>
      <x:c r="C83" s="52" t="str">
        <x:f>IF('總表'!K13="","",'總表'!K13)</x:f>
      </x:c>
      <x:c r="D83" s="53" t="str">
        <x:f>'總表'!C13</x:f>
        <x:v>吳睿綝</x:v>
      </x:c>
      <x:c r="E83" s="53" t="str">
        <x:f>'總表'!D13</x:f>
        <x:v>高天通訊處</x:v>
      </x:c>
      <x:c r="F83" s="52" t="str">
        <x:f>'總表'!E13</x:f>
        <x:v>女</x:v>
      </x:c>
      <x:c r="G83" s="52" t="str">
        <x:f>'總表'!A13</x:f>
        <x:v>5</x:v>
      </x:c>
      <x:c r="H83" s="52" t="str">
        <x:f>'總表'!B13</x:f>
        <x:v>9</x:v>
      </x:c>
      <x:c r="I83" s="53" t="str">
        <x:f>IF('總表'!L13="","",'總表'!L13)</x:f>
      </x:c>
    </x:row>
    <x:row r="84">
      <x:c r="A84" s="52" t="str">
        <x:f>'總表'!I42</x:f>
        <x:v>第9桌</x:v>
      </x:c>
      <x:c r="B84" s="52" t="str">
        <x:f>IF('總表'!J42="","",'總表'!J42)</x:f>
        <x:v>第9組</x:v>
      </x:c>
      <x:c r="C84" s="52" t="str">
        <x:f>IF('總表'!K42="","",'總表'!K42)</x:f>
      </x:c>
      <x:c r="D84" s="53" t="str">
        <x:f>'總表'!C42</x:f>
        <x:v>徐瀚</x:v>
      </x:c>
      <x:c r="E84" s="53" t="str">
        <x:f>'總表'!D42</x:f>
        <x:v>富吳通訊處</x:v>
      </x:c>
      <x:c r="F84" s="52" t="str">
        <x:f>'總表'!E42</x:f>
        <x:v>男</x:v>
      </x:c>
      <x:c r="G84" s="52" t="str">
        <x:f>'總表'!A42</x:f>
        <x:v>19</x:v>
      </x:c>
      <x:c r="H84" s="52" t="str">
        <x:f>'總表'!B42</x:f>
        <x:v>38</x:v>
      </x:c>
      <x:c r="I84" s="53" t="str">
        <x:f>IF('總表'!L42="","",'總表'!L42)</x:f>
      </x:c>
    </x:row>
    <x:row r="85">
      <x:c r="A85" s="52" t="str">
        <x:f>'總表'!I46</x:f>
        <x:v>第9桌</x:v>
      </x:c>
      <x:c r="B85" s="52" t="str">
        <x:f>IF('總表'!J46="","",'總表'!J46)</x:f>
        <x:v>第9組</x:v>
      </x:c>
      <x:c r="C85" s="52" t="str">
        <x:f>IF('總表'!K46="","",'總表'!K46)</x:f>
      </x:c>
      <x:c r="D85" s="53" t="str">
        <x:f>'總表'!C46</x:f>
        <x:v>王昱文</x:v>
      </x:c>
      <x:c r="E85" s="53" t="str">
        <x:f>'總表'!D46</x:f>
        <x:v>富則通訊處</x:v>
      </x:c>
      <x:c r="F85" s="52" t="str">
        <x:f>'總表'!E46</x:f>
        <x:v>男</x:v>
      </x:c>
      <x:c r="G85" s="52" t="str">
        <x:f>'總表'!A46</x:f>
        <x:v>21</x:v>
      </x:c>
      <x:c r="H85" s="52" t="str">
        <x:f>'總表'!B46</x:f>
        <x:v>42</x:v>
      </x:c>
      <x:c r="I85" s="53" t="str">
        <x:f>IF('總表'!L46="","",'總表'!L46)</x:f>
      </x:c>
    </x:row>
    <x:row r="86">
      <x:c r="A86" s="52" t="str">
        <x:f>'總表'!I54</x:f>
        <x:v>第9桌</x:v>
      </x:c>
      <x:c r="B86" s="52" t="str">
        <x:f>IF('總表'!J54="","",'總表'!J54)</x:f>
        <x:v>第9組</x:v>
      </x:c>
      <x:c r="C86" s="52" t="str">
        <x:f>IF('總表'!K54="","",'總表'!K54)</x:f>
      </x:c>
      <x:c r="D86" s="53" t="str">
        <x:f>'總表'!C54</x:f>
        <x:v>林宜潔</x:v>
      </x:c>
      <x:c r="E86" s="53" t="str">
        <x:f>'總表'!D54</x:f>
        <x:v>富占通訊處</x:v>
      </x:c>
      <x:c r="F86" s="52" t="str">
        <x:f>'總表'!E54</x:f>
        <x:v>女</x:v>
      </x:c>
      <x:c r="G86" s="52" t="str">
        <x:f>'總表'!A54</x:f>
        <x:v>25</x:v>
      </x:c>
      <x:c r="H86" s="52" t="str">
        <x:f>'總表'!B54</x:f>
        <x:v>50</x:v>
      </x:c>
      <x:c r="I86" s="53" t="str">
        <x:f>IF('總表'!L54="","",'總表'!L54)</x:f>
      </x:c>
    </x:row>
    <x:row r="87">
      <x:c r="A87" s="52" t="str">
        <x:f>'總表'!I65</x:f>
        <x:v>第9桌</x:v>
      </x:c>
      <x:c r="B87" s="52" t="str">
        <x:f>IF('總表'!J65="","",'總表'!J65)</x:f>
        <x:v>第9組</x:v>
      </x:c>
      <x:c r="C87" s="52" t="str">
        <x:f>IF('總表'!K65="","",'總表'!K65)</x:f>
      </x:c>
      <x:c r="D87" s="53" t="str">
        <x:f>'總表'!C65</x:f>
        <x:v>蔡承遠</x:v>
      </x:c>
      <x:c r="E87" s="53" t="str">
        <x:f>'總表'!D65</x:f>
        <x:v>富則通訊處</x:v>
      </x:c>
      <x:c r="F87" s="52" t="str">
        <x:f>'總表'!E65</x:f>
        <x:v>男</x:v>
      </x:c>
      <x:c r="G87" s="52" t="str">
        <x:f>'總表'!A65</x:f>
        <x:v>31</x:v>
      </x:c>
      <x:c r="H87" s="52" t="str">
        <x:f>'總表'!B65</x:f>
        <x:v>61</x:v>
      </x:c>
      <x:c r="I87" s="53" t="str">
        <x:f>IF('總表'!L65="","",'總表'!L65)</x:f>
      </x:c>
    </x:row>
    <x:row r="88">
      <x:c r="A88" s="52" t="str">
        <x:f>'總表'!I75</x:f>
        <x:v>第9桌</x:v>
      </x:c>
      <x:c r="B88" s="52" t="str">
        <x:f>IF('總表'!J75="","",'總表'!J75)</x:f>
        <x:v>第9組</x:v>
      </x:c>
      <x:c r="C88" s="52" t="str">
        <x:f>IF('總表'!K75="","",'總表'!K75)</x:f>
      </x:c>
      <x:c r="D88" s="53" t="str">
        <x:f>'總表'!C75</x:f>
        <x:v>馬英傑</x:v>
      </x:c>
      <x:c r="E88" s="53" t="str">
        <x:f>'總表'!D75</x:f>
        <x:v>富亨通訊處</x:v>
      </x:c>
      <x:c r="F88" s="52" t="str">
        <x:f>'總表'!E75</x:f>
        <x:v>男</x:v>
      </x:c>
      <x:c r="G88" s="52" t="str">
        <x:f>'總表'!A75</x:f>
        <x:v>36</x:v>
      </x:c>
      <x:c r="H88" s="52" t="str">
        <x:f>'總表'!B75</x:f>
        <x:v>71</x:v>
      </x:c>
      <x:c r="I88" s="53" t="str">
        <x:f>IF('總表'!L75="","",'總表'!L75)</x:f>
      </x:c>
    </x:row>
    <x:row r="89">
      <x:c r="A89" s="52" t="str">
        <x:f>'總表'!I78</x:f>
        <x:v>第9桌</x:v>
      </x:c>
      <x:c r="B89" s="52" t="str">
        <x:f>IF('總表'!J78="","",'總表'!J78)</x:f>
        <x:v>第9組</x:v>
      </x:c>
      <x:c r="C89" s="52" t="str">
        <x:f>IF('總表'!K78="","",'總表'!K78)</x:f>
      </x:c>
      <x:c r="D89" s="53" t="str">
        <x:f>'總表'!C78</x:f>
        <x:v>廖家慧</x:v>
      </x:c>
      <x:c r="E89" s="53" t="str">
        <x:f>'總表'!D78</x:f>
        <x:v>富亨通訊處</x:v>
      </x:c>
      <x:c r="F89" s="52" t="str">
        <x:f>'總表'!E78</x:f>
        <x:v>女</x:v>
      </x:c>
      <x:c r="G89" s="52" t="str">
        <x:f>'總表'!A78</x:f>
        <x:v>37</x:v>
      </x:c>
      <x:c r="H89" s="52" t="str">
        <x:f>'總表'!B78</x:f>
        <x:v>74</x:v>
      </x:c>
      <x:c r="I89" s="53" t="str">
        <x:f>IF('總表'!L78="","",'總表'!L78)</x:f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b5bad79db724a0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customWidth="1"/>
    <x:col min="2" max="2" width="10" customWidth="1"/>
    <x:col min="3" max="3" width="34" hidden="0" customWidth="1"/>
  </x:cols>
  <x:sheetData>
    <x:row r="1" ht="19" customHeight="1">
      <x:c r="A1" s="35" t="s">
        <x:v>220</x:v>
      </x:c>
      <x:c r="B1" s="33"/>
      <x:c r="C1" s="33"/>
    </x:row>
    <x:row r="3">
      <x:c r="A3" s="13" t="s">
        <x:v>221</x:v>
      </x:c>
      <x:c r="B3" s="13" t="s">
        <x:v>222</x:v>
      </x:c>
      <x:c r="C3" s="13" t="s">
        <x:v>223</x:v>
      </x:c>
    </x:row>
    <x:row r="4" ht="15" customHeight="1">
      <x:c r="A4" s="14" t="s">
        <x:v>224</x:v>
      </x:c>
      <x:c r="B4" s="15">
        <x:v>85</x:v>
      </x:c>
      <x:c r="C4" s="16"/>
    </x:row>
    <x:row r="5" ht="15" customHeight="1">
      <x:c r="A5" s="17" t="s">
        <x:v>225</x:v>
      </x:c>
      <x:c r="B5" s="18">
        <x:v>0</x:v>
      </x:c>
      <x:c r="C5" s="19"/>
    </x:row>
    <x:row r="6" ht="15" customHeight="1">
      <x:c r="A6" s="17" t="s">
        <x:v>226</x:v>
      </x:c>
      <x:c r="B6" s="18">
        <x:v>0</x:v>
      </x:c>
      <x:c r="C6" s="19"/>
    </x:row>
    <x:row r="7" ht="15" customHeight="1">
      <x:c r="A7" s="17" t="s">
        <x:v>227</x:v>
      </x:c>
      <x:c r="B7" s="18">
        <x:v>0</x:v>
      </x:c>
      <x:c r="C7" s="19"/>
    </x:row>
    <x:row r="8" ht="15" customHeight="1">
      <x:c r="A8" s="20" t="s">
        <x:v>228</x:v>
      </x:c>
      <x:c r="B8" s="21">
        <x:v>0</x:v>
      </x:c>
      <x:c r="C8" s="22"/>
    </x:row>
    <x:row r="9">
      <x:c r="A9" s="56" t="str">
        <x:v>車次座位已列</x:v>
      </x:c>
      <x:c r="B9" s="57" t="n">
        <x:v>85</x:v>
      </x:c>
      <x:c r="C9" s="56" t="str">
        <x:v>青島→濟南 G1074</x:v>
      </x:c>
    </x:row>
    <x:row r="10">
      <x:c r="A10" s="58" t="str">
        <x:v>車次座位未列</x:v>
      </x:c>
      <x:c r="B10" s="59" t="n">
        <x:v>0</x:v>
      </x:c>
      <x:c r="C10" s="58" t="str"/>
    </x:row>
  </x:sheetData>
  <x:mergeCells>
    <x:mergeCell ref="A1:C1"/>
  </x:mergeCells>
  <x:pageMargins left="0.7" right="0.7" top="0.75" bottom="0.75" header="0.3" footer="0.3"/>
</x:worksheet>
</file>